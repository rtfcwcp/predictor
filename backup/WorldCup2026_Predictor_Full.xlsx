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try Sheet" sheetId="1" state="visible" r:id="rId3"/>
    <sheet name="Games" sheetId="2" state="visible" r:id="rId4"/>
    <sheet name="Entries" sheetId="3" state="visible" r:id="rId5"/>
    <sheet name="Correct Answers" sheetId="4" state="visible" r:id="rId6"/>
    <sheet name="Scoring" sheetId="5" state="visible" r:id="rId7"/>
    <sheet name="Leaderboard" sheetId="6" state="visible" r:id="rId8"/>
    <sheet name="emails" sheetId="7" state="visible" r:id="rId9"/>
  </sheets>
  <definedNames>
    <definedName function="false" hidden="false" name="teams" vbProcedure="false">'Entry Sheet'!$B$73:$B$120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<sst xmlns="http://schemas.openxmlformats.org/spreadsheetml/2006/main" count="1387" uniqueCount="238">
  <si>
    <t xml:space="preserve">2026 World Cup Competition</t>
  </si>
  <si>
    <t xml:space="preserve">Select a group winner for each group (2 points per correct answer)</t>
  </si>
  <si>
    <t xml:space="preserve">Group A</t>
  </si>
  <si>
    <t xml:space="preserve">Group B</t>
  </si>
  <si>
    <t xml:space="preserve">Group C</t>
  </si>
  <si>
    <t xml:space="preserve">Mexico</t>
  </si>
  <si>
    <t xml:space="preserve">Canada</t>
  </si>
  <si>
    <t xml:space="preserve">Brazil</t>
  </si>
  <si>
    <t xml:space="preserve">South Africa</t>
  </si>
  <si>
    <t xml:space="preserve">Bosnia &amp; Herzegovina</t>
  </si>
  <si>
    <t xml:space="preserve">Morocco</t>
  </si>
  <si>
    <t xml:space="preserve">South Korea</t>
  </si>
  <si>
    <t xml:space="preserve">Qatar</t>
  </si>
  <si>
    <t xml:space="preserve">Haiti</t>
  </si>
  <si>
    <t xml:space="preserve">Czechia</t>
  </si>
  <si>
    <t xml:space="preserve">Switzerland</t>
  </si>
  <si>
    <t xml:space="preserve">Scotland</t>
  </si>
  <si>
    <t xml:space="preserve">Group D</t>
  </si>
  <si>
    <t xml:space="preserve">Group E</t>
  </si>
  <si>
    <t xml:space="preserve">Group F</t>
  </si>
  <si>
    <t xml:space="preserve">USA</t>
  </si>
  <si>
    <t xml:space="preserve">Germany</t>
  </si>
  <si>
    <t xml:space="preserve">Netherlands</t>
  </si>
  <si>
    <t xml:space="preserve">Paraguay</t>
  </si>
  <si>
    <t xml:space="preserve">Curacao</t>
  </si>
  <si>
    <t xml:space="preserve">Japan</t>
  </si>
  <si>
    <t xml:space="preserve">Australia</t>
  </si>
  <si>
    <t xml:space="preserve">Ivory Coast</t>
  </si>
  <si>
    <t xml:space="preserve">Sweden</t>
  </si>
  <si>
    <t xml:space="preserve">Turkey</t>
  </si>
  <si>
    <t xml:space="preserve">Ecuador</t>
  </si>
  <si>
    <t xml:space="preserve">Tunisia</t>
  </si>
  <si>
    <t xml:space="preserve">Group G</t>
  </si>
  <si>
    <t xml:space="preserve">Group H</t>
  </si>
  <si>
    <t xml:space="preserve">Group I</t>
  </si>
  <si>
    <t xml:space="preserve">Belgium</t>
  </si>
  <si>
    <t xml:space="preserve">Spain</t>
  </si>
  <si>
    <t xml:space="preserve">France</t>
  </si>
  <si>
    <t xml:space="preserve">Egypt</t>
  </si>
  <si>
    <t xml:space="preserve">Cape Verde</t>
  </si>
  <si>
    <t xml:space="preserve">Senegal</t>
  </si>
  <si>
    <t xml:space="preserve">Iran</t>
  </si>
  <si>
    <t xml:space="preserve">Saudi Arabia</t>
  </si>
  <si>
    <t xml:space="preserve">Iraq</t>
  </si>
  <si>
    <t xml:space="preserve">New Zealand</t>
  </si>
  <si>
    <t xml:space="preserve">Uruguay</t>
  </si>
  <si>
    <t xml:space="preserve">Norway</t>
  </si>
  <si>
    <t xml:space="preserve">Group J</t>
  </si>
  <si>
    <t xml:space="preserve">Group K</t>
  </si>
  <si>
    <t xml:space="preserve">Group L</t>
  </si>
  <si>
    <t xml:space="preserve">Argentina</t>
  </si>
  <si>
    <t xml:space="preserve">Portugal</t>
  </si>
  <si>
    <t xml:space="preserve">England</t>
  </si>
  <si>
    <t xml:space="preserve">Algeria</t>
  </si>
  <si>
    <t xml:space="preserve">DR Congo</t>
  </si>
  <si>
    <t xml:space="preserve">Croatia</t>
  </si>
  <si>
    <t xml:space="preserve">Austria</t>
  </si>
  <si>
    <t xml:space="preserve">Uzbekistan</t>
  </si>
  <si>
    <t xml:space="preserve">Ghana</t>
  </si>
  <si>
    <t xml:space="preserve">Jordan</t>
  </si>
  <si>
    <t xml:space="preserve">Colombia</t>
  </si>
  <si>
    <t xml:space="preserve">Panama</t>
  </si>
  <si>
    <t xml:space="preserve">Predict the four semi finalist teams (2 points per correct answer)</t>
  </si>
  <si>
    <t xml:space="preserve">Predict the two finalist teams (2 points per correct answer)</t>
  </si>
  <si>
    <t xml:space="preserve">Predict the World Cup winner (2 points per correct answer)</t>
  </si>
  <si>
    <t xml:space="preserve">Predict the Golden Boot winner (2 points per correct answer)</t>
  </si>
  <si>
    <t xml:space="preserve">Predict the first team to have a red card (2 points per correct answer)</t>
  </si>
  <si>
    <t xml:space="preserve">Predict the total number of goals scored in the whole World Cup (Tie breaker question)</t>
  </si>
  <si>
    <t xml:space="preserve">Date</t>
  </si>
  <si>
    <t xml:space="preserve">Home</t>
  </si>
  <si>
    <t xml:space="preserve">Score</t>
  </si>
  <si>
    <t xml:space="preserve">Away</t>
  </si>
  <si>
    <t xml:space="preserve">Goals: </t>
  </si>
  <si>
    <t xml:space="preserve">SA first red card.</t>
  </si>
  <si>
    <t xml:space="preserve">Participant</t>
  </si>
  <si>
    <t xml:space="preserve">Group A Winner</t>
  </si>
  <si>
    <t xml:space="preserve">Group B Winner</t>
  </si>
  <si>
    <t xml:space="preserve">Group C Winner</t>
  </si>
  <si>
    <t xml:space="preserve">Group D Winner</t>
  </si>
  <si>
    <t xml:space="preserve">Group E Winner</t>
  </si>
  <si>
    <t xml:space="preserve">Group F Winner</t>
  </si>
  <si>
    <t xml:space="preserve">Group G Winner</t>
  </si>
  <si>
    <t xml:space="preserve">Group H Winner</t>
  </si>
  <si>
    <t xml:space="preserve">Group I Winner</t>
  </si>
  <si>
    <t xml:space="preserve">Group J Winner</t>
  </si>
  <si>
    <t xml:space="preserve">Group K Winner</t>
  </si>
  <si>
    <t xml:space="preserve">Group L Winner</t>
  </si>
  <si>
    <t xml:space="preserve">Semi-Finalist 1</t>
  </si>
  <si>
    <t xml:space="preserve">Semi-Finalist 2</t>
  </si>
  <si>
    <t xml:space="preserve">Semi-Finalist 3</t>
  </si>
  <si>
    <t xml:space="preserve">Semi-Finalist 4</t>
  </si>
  <si>
    <t xml:space="preserve">Finalist 1</t>
  </si>
  <si>
    <t xml:space="preserve">Finalist 2</t>
  </si>
  <si>
    <t xml:space="preserve">Tournament Winner</t>
  </si>
  <si>
    <t xml:space="preserve">Golden Boot Winner</t>
  </si>
  <si>
    <t xml:space="preserve">First Red Card Team</t>
  </si>
  <si>
    <t xml:space="preserve">Tie-Break Total Goals</t>
  </si>
  <si>
    <t xml:space="preserve">Paid</t>
  </si>
  <si>
    <t xml:space="preserve">Payment Link</t>
  </si>
  <si>
    <t xml:space="preserve">Gary Bebbington</t>
  </si>
  <si>
    <t xml:space="preserve">Kylian Mbappe</t>
  </si>
  <si>
    <t xml:space="preserve">Y</t>
  </si>
  <si>
    <t xml:space="preserve">https://pay.sumup.com/b2c/X4M5URQIEI</t>
  </si>
  <si>
    <t xml:space="preserve">Liam Page</t>
  </si>
  <si>
    <t xml:space="preserve">Harry Kane</t>
  </si>
  <si>
    <t xml:space="preserve">https://pay.sumup.com/b2c/XUVBKRQD4U</t>
  </si>
  <si>
    <t xml:space="preserve">Andy Rutter</t>
  </si>
  <si>
    <t xml:space="preserve">https://pay.sumup.com/b2c/XIUR59CS9V</t>
  </si>
  <si>
    <t xml:space="preserve">Glyn Davies</t>
  </si>
  <si>
    <t xml:space="preserve">Lautaro Martinez</t>
  </si>
  <si>
    <t xml:space="preserve">https://pay.sumup.com/b2c/XJ2OG3R9ZY</t>
  </si>
  <si>
    <t xml:space="preserve">Mr Zee</t>
  </si>
  <si>
    <t xml:space="preserve">Lamine Yamal</t>
  </si>
  <si>
    <t xml:space="preserve">N</t>
  </si>
  <si>
    <t xml:space="preserve">Darren Moore</t>
  </si>
  <si>
    <t xml:space="preserve">Ollie Watkins</t>
  </si>
  <si>
    <t xml:space="preserve">https://pay.sumup.com/b2c/XVJHXAUHPW</t>
  </si>
  <si>
    <t xml:space="preserve">Andrew Lee</t>
  </si>
  <si>
    <t xml:space="preserve">https://pay.sumup.com/b2c/XD4XNCDO4A</t>
  </si>
  <si>
    <t xml:space="preserve">Claire Doughty</t>
  </si>
  <si>
    <t xml:space="preserve">https://pay.sumup.com/b2c/X47APG4IKV</t>
  </si>
  <si>
    <t xml:space="preserve">Andrew Hayes</t>
  </si>
  <si>
    <t xml:space="preserve">Vinicius Junior</t>
  </si>
  <si>
    <t xml:space="preserve">https://pay.sumup.com/b2c/XIMFLHNUIF</t>
  </si>
  <si>
    <t xml:space="preserve">Lindsay Berry</t>
  </si>
  <si>
    <t xml:space="preserve">Naymer Junior</t>
  </si>
  <si>
    <t xml:space="preserve">https://pay.sumup.com/b2c/XBQYQN61Z4</t>
  </si>
  <si>
    <t xml:space="preserve">Derek Clayton</t>
  </si>
  <si>
    <t xml:space="preserve">Julian Alvarez</t>
  </si>
  <si>
    <t xml:space="preserve">https://pay.sumup.com/b2c/X0FQYKI1YA</t>
  </si>
  <si>
    <t xml:space="preserve">Sophie Hayes</t>
  </si>
  <si>
    <t xml:space="preserve">https://pay.sumup.com/b2c/XIJCN762DV</t>
  </si>
  <si>
    <t xml:space="preserve">Colin Kudrycz</t>
  </si>
  <si>
    <t xml:space="preserve">https://pay.sumup.com/b2c/XUQLC9VJ3B</t>
  </si>
  <si>
    <t xml:space="preserve">Paul Roberts</t>
  </si>
  <si>
    <t xml:space="preserve">https://pay.sumup.com/b2c/XO2JXR9DPY</t>
  </si>
  <si>
    <t xml:space="preserve">Brian Varney</t>
  </si>
  <si>
    <t xml:space="preserve">https://pay.sumup.com/b2c/X9A0WRUQ3U</t>
  </si>
  <si>
    <t xml:space="preserve">Nick Davis</t>
  </si>
  <si>
    <t xml:space="preserve">https://pay.sumup.com/b2c/XKGC50ZSFQ</t>
  </si>
  <si>
    <t xml:space="preserve">Chris Varney</t>
  </si>
  <si>
    <t xml:space="preserve">https://pay.sumup.com/b2c/X77QVLNIMG</t>
  </si>
  <si>
    <t xml:space="preserve">Roy Roberts</t>
  </si>
  <si>
    <t xml:space="preserve">https://pay.sumup.com/b2c/X98R3AQQZF</t>
  </si>
  <si>
    <t xml:space="preserve">Lee Hughes</t>
  </si>
  <si>
    <t xml:space="preserve">https://pay.sumup.com/b2c/XCGK0NHXHD</t>
  </si>
  <si>
    <t xml:space="preserve">Amanda Andrews</t>
  </si>
  <si>
    <t xml:space="preserve">https://pay.sumup.com/b2c/XDD6PXHSRS</t>
  </si>
  <si>
    <t xml:space="preserve">David Brookes</t>
  </si>
  <si>
    <t xml:space="preserve">https://pay.sumup.com/b2c/XDJTC4BQMG</t>
  </si>
  <si>
    <t xml:space="preserve">Alan Bennett</t>
  </si>
  <si>
    <t xml:space="preserve">-</t>
  </si>
  <si>
    <t xml:space="preserve">https://pay.sumup.com/b2c/XQ6K8IV83R</t>
  </si>
  <si>
    <t xml:space="preserve">Matthew Varney</t>
  </si>
  <si>
    <t xml:space="preserve">https://pay.sumup.com/b2c/X7XMJ3FOP3</t>
  </si>
  <si>
    <t xml:space="preserve">Oliver Nay</t>
  </si>
  <si>
    <t xml:space="preserve">https://pay.sumup.com/b2c/X841APLCIR</t>
  </si>
  <si>
    <t xml:space="preserve">Stephen Roberts</t>
  </si>
  <si>
    <t xml:space="preserve">Michael Olise</t>
  </si>
  <si>
    <t xml:space="preserve">https://pay.sumup.com/b2c/XRE3HFE7O5</t>
  </si>
  <si>
    <t xml:space="preserve">Ethan Yates</t>
  </si>
  <si>
    <t xml:space="preserve">https://pay.sumup.com/b2c/XLVKX1KVGO</t>
  </si>
  <si>
    <t xml:space="preserve">Neil Keelan</t>
  </si>
  <si>
    <t xml:space="preserve">https://pay.sumup.com/b2c/XA11GKL7S9</t>
  </si>
  <si>
    <t xml:space="preserve">Terresa Baker</t>
  </si>
  <si>
    <t xml:space="preserve">https://pay.sumup.com/b2c/XBUB3SZ21W</t>
  </si>
  <si>
    <t xml:space="preserve">Steph Cawte</t>
  </si>
  <si>
    <t xml:space="preserve">https://pay.sumup.com/b2c/X0URRRMLYI</t>
  </si>
  <si>
    <t xml:space="preserve">Sam Flower</t>
  </si>
  <si>
    <t xml:space="preserve">https://pay.sumup.com/b2c/X4O52Y8PEV</t>
  </si>
  <si>
    <t xml:space="preserve">Martin Fallon</t>
  </si>
  <si>
    <t xml:space="preserve">https://pay.sumup.com/b2c/XQWR240BR3</t>
  </si>
  <si>
    <t xml:space="preserve">Ed Burthem</t>
  </si>
  <si>
    <t xml:space="preserve">https://pay.sumup.com/b2c/XSP9GC1WZR</t>
  </si>
  <si>
    <t xml:space="preserve">Dylan Green</t>
  </si>
  <si>
    <t xml:space="preserve">https://pay.sumup.com/b2c/XLH7VOSPN7</t>
  </si>
  <si>
    <t xml:space="preserve">Matthew Green</t>
  </si>
  <si>
    <t xml:space="preserve">https://pay.sumup.com/b2c/XN5XZOM95H</t>
  </si>
  <si>
    <t xml:space="preserve">Thomas Green</t>
  </si>
  <si>
    <t xml:space="preserve">https://pay.sumup.com/b2c/XL5UJQ2YZC</t>
  </si>
  <si>
    <t xml:space="preserve">Stewart Halliday</t>
  </si>
  <si>
    <t xml:space="preserve">https://pay.sumup.com/b2c/XGMT7095L4</t>
  </si>
  <si>
    <t xml:space="preserve">Robert Moore</t>
  </si>
  <si>
    <t xml:space="preserve">https://pay.sumup.com/b2c/XWK7EXCO8V</t>
  </si>
  <si>
    <t xml:space="preserve">Declan Preston</t>
  </si>
  <si>
    <t xml:space="preserve">https://pay.sumup.com/b2c/X476O8WK4G</t>
  </si>
  <si>
    <t xml:space="preserve">Ivor Richards</t>
  </si>
  <si>
    <t xml:space="preserve">https://pay.sumup.com/b2c/X8TO8U5LS0</t>
  </si>
  <si>
    <t xml:space="preserve">Mark Holdridge</t>
  </si>
  <si>
    <t xml:space="preserve">https://pay.sumup.com/b2c/X1HLZU5XCT</t>
  </si>
  <si>
    <t xml:space="preserve">Andrew Brown</t>
  </si>
  <si>
    <t xml:space="preserve">https://pay.sumup.com/b2c/X1AUMMKITX</t>
  </si>
  <si>
    <t xml:space="preserve">Aid Corker</t>
  </si>
  <si>
    <t xml:space="preserve">Question</t>
  </si>
  <si>
    <t xml:space="preserve">Correct Answer</t>
  </si>
  <si>
    <t xml:space="preserve">Semi-Finalist</t>
  </si>
  <si>
    <t xml:space="preserve">Finalist</t>
  </si>
  <si>
    <t xml:space="preserve">Goal Diff.</t>
  </si>
  <si>
    <t xml:space="preserve">Email Addresses</t>
  </si>
  <si>
    <t xml:space="preserve">gary@bebbs.eu</t>
  </si>
  <si>
    <t xml:space="preserve">pageliam1987@gmail.com</t>
  </si>
  <si>
    <t xml:space="preserve">andrewrutter1@yahoo.co.uk</t>
  </si>
  <si>
    <t xml:space="preserve">runnerglyn@yahoo.co.uk</t>
  </si>
  <si>
    <t xml:space="preserve">darren.moey@hotmail.co.uk</t>
  </si>
  <si>
    <t xml:space="preserve">poorash@live.com</t>
  </si>
  <si>
    <t xml:space="preserve">dghclai@aol.com</t>
  </si>
  <si>
    <t xml:space="preserve">a-hayes1@sky.com</t>
  </si>
  <si>
    <t xml:space="preserve">lberry2004@hotmail.co.uk</t>
  </si>
  <si>
    <t xml:space="preserve">derekclayton1@gmail.com</t>
  </si>
  <si>
    <t xml:space="preserve">sophiehayes.7291@icloud.com</t>
  </si>
  <si>
    <t xml:space="preserve">colinkudrycz@outlook.com</t>
  </si>
  <si>
    <t xml:space="preserve">paulchrisroberts@hotmail.com</t>
  </si>
  <si>
    <t xml:space="preserve">brianvarney@hotmail.com</t>
  </si>
  <si>
    <t xml:space="preserve">nickdavis400@gmail.com</t>
  </si>
  <si>
    <t xml:space="preserve">chrisvarney999@gmail.com</t>
  </si>
  <si>
    <t xml:space="preserve">44robbo@gmail.com</t>
  </si>
  <si>
    <t xml:space="preserve">amanda.jane.andrews@icloud.com</t>
  </si>
  <si>
    <t xml:space="preserve">davidbrookes1977@hotmail.co.uk</t>
  </si>
  <si>
    <t xml:space="preserve">mattvarney999@icloud.com</t>
  </si>
  <si>
    <t xml:space="preserve">olivernay37@gmail.com</t>
  </si>
  <si>
    <t xml:space="preserve">sterobbo19@gmail.com</t>
  </si>
  <si>
    <t xml:space="preserve">ethan@campeyturfcare.com</t>
  </si>
  <si>
    <t xml:space="preserve">neilkeelan@icloud.com</t>
  </si>
  <si>
    <t xml:space="preserve">terresabaker@yahoo.com</t>
  </si>
  <si>
    <t xml:space="preserve">steff_cawte@hotmail.co.uk</t>
  </si>
  <si>
    <t xml:space="preserve">samflower13@icloud.com</t>
  </si>
  <si>
    <t xml:space="preserve">contactme@martinfallon.co.uk</t>
  </si>
  <si>
    <t xml:space="preserve">edburthem@outlook.com</t>
  </si>
  <si>
    <t xml:space="preserve">dylangreenlfc09@gmail.com</t>
  </si>
  <si>
    <t xml:space="preserve">matthewlgreen2013@gmail.com</t>
  </si>
  <si>
    <t xml:space="preserve">thomasgreen667@gmail.com</t>
  </si>
  <si>
    <t xml:space="preserve">stewart.halliday@hotmail.co.uk</t>
  </si>
  <si>
    <t xml:space="preserve">lhughes74@outlook.com</t>
  </si>
  <si>
    <t xml:space="preserve">rm1627@outlook.com</t>
  </si>
  <si>
    <t xml:space="preserve">declan.preston@ymail.com</t>
  </si>
  <si>
    <t xml:space="preserve">ivor.richards2@btinternet.com</t>
  </si>
  <si>
    <t xml:space="preserve">mark@holdridge.info</t>
  </si>
  <si>
    <t xml:space="preserve">ajb1001@hotmail.com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</si>
</sst>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Ubuntu"/>
      <family val="0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ay.sumup.com/b2c/X4M5URQIEI" TargetMode="External"/><Relationship Id="rId2" Type="http://schemas.openxmlformats.org/officeDocument/2006/relationships/hyperlink" Target="https://pay.sumup.com/b2c/XUVBKRQD4U" TargetMode="External"/><Relationship Id="rId3" Type="http://schemas.openxmlformats.org/officeDocument/2006/relationships/hyperlink" Target="https://pay.sumup.com/b2c/XIUR59CS9V" TargetMode="External"/><Relationship Id="rId4" Type="http://schemas.openxmlformats.org/officeDocument/2006/relationships/hyperlink" Target="https://pay.sumup.com/b2c/XJ2OG3R9ZY" TargetMode="External"/><Relationship Id="rId5" Type="http://schemas.openxmlformats.org/officeDocument/2006/relationships/hyperlink" Target="https://pay.sumup.com/b2c/XVJHXAUHPW" TargetMode="External"/><Relationship Id="rId6" Type="http://schemas.openxmlformats.org/officeDocument/2006/relationships/hyperlink" Target="https://pay.sumup.com/b2c/XD4XNCDO4A" TargetMode="External"/><Relationship Id="rId7" Type="http://schemas.openxmlformats.org/officeDocument/2006/relationships/hyperlink" Target="https://pay.sumup.com/b2c/X47APG4IKV" TargetMode="External"/><Relationship Id="rId8" Type="http://schemas.openxmlformats.org/officeDocument/2006/relationships/hyperlink" Target="https://pay.sumup.com/b2c/XIMFLHNUIF" TargetMode="External"/><Relationship Id="rId9" Type="http://schemas.openxmlformats.org/officeDocument/2006/relationships/hyperlink" Target="https://pay.sumup.com/b2c/XBQYQN61Z4" TargetMode="External"/><Relationship Id="rId10" Type="http://schemas.openxmlformats.org/officeDocument/2006/relationships/hyperlink" Target="https://pay.sumup.com/b2c/X0FQYKI1YA" TargetMode="External"/><Relationship Id="rId11" Type="http://schemas.openxmlformats.org/officeDocument/2006/relationships/hyperlink" Target="https://pay.sumup.com/b2c/XIJCN762DV" TargetMode="External"/><Relationship Id="rId12" Type="http://schemas.openxmlformats.org/officeDocument/2006/relationships/hyperlink" Target="https://pay.sumup.com/b2c/XUQLC9VJ3B" TargetMode="External"/><Relationship Id="rId13" Type="http://schemas.openxmlformats.org/officeDocument/2006/relationships/hyperlink" Target="https://pay.sumup.com/b2c/XO2JXR9DPY" TargetMode="External"/><Relationship Id="rId14" Type="http://schemas.openxmlformats.org/officeDocument/2006/relationships/hyperlink" Target="https://pay.sumup.com/b2c/X9A0WRUQ3U" TargetMode="External"/><Relationship Id="rId15" Type="http://schemas.openxmlformats.org/officeDocument/2006/relationships/hyperlink" Target="https://pay.sumup.com/b2c/XKGC50ZSFQ" TargetMode="External"/><Relationship Id="rId16" Type="http://schemas.openxmlformats.org/officeDocument/2006/relationships/hyperlink" Target="https://pay.sumup.com/b2c/X77QVLNIMG" TargetMode="External"/><Relationship Id="rId17" Type="http://schemas.openxmlformats.org/officeDocument/2006/relationships/hyperlink" Target="https://pay.sumup.com/b2c/X98R3AQQZF" TargetMode="External"/><Relationship Id="rId18" Type="http://schemas.openxmlformats.org/officeDocument/2006/relationships/hyperlink" Target="https://pay.sumup.com/b2c/XCGK0NHXHD" TargetMode="External"/><Relationship Id="rId19" Type="http://schemas.openxmlformats.org/officeDocument/2006/relationships/hyperlink" Target="https://pay.sumup.com/b2c/XDD6PXHSRS" TargetMode="External"/><Relationship Id="rId20" Type="http://schemas.openxmlformats.org/officeDocument/2006/relationships/hyperlink" Target="https://pay.sumup.com/b2c/XDJTC4BQMG" TargetMode="External"/><Relationship Id="rId21" Type="http://schemas.openxmlformats.org/officeDocument/2006/relationships/hyperlink" Target="https://pay.sumup.com/b2c/XQ6K8IV83R" TargetMode="External"/><Relationship Id="rId22" Type="http://schemas.openxmlformats.org/officeDocument/2006/relationships/hyperlink" Target="https://pay.sumup.com/b2c/X7XMJ3FOP3" TargetMode="External"/><Relationship Id="rId23" Type="http://schemas.openxmlformats.org/officeDocument/2006/relationships/hyperlink" Target="https://pay.sumup.com/b2c/X841APLCIR" TargetMode="External"/><Relationship Id="rId24" Type="http://schemas.openxmlformats.org/officeDocument/2006/relationships/hyperlink" Target="https://pay.sumup.com/b2c/XRE3HFE7O5" TargetMode="External"/><Relationship Id="rId25" Type="http://schemas.openxmlformats.org/officeDocument/2006/relationships/hyperlink" Target="https://pay.sumup.com/b2c/XLVKX1KVGO" TargetMode="External"/><Relationship Id="rId26" Type="http://schemas.openxmlformats.org/officeDocument/2006/relationships/hyperlink" Target="https://pay.sumup.com/b2c/XA11GKL7S9" TargetMode="External"/><Relationship Id="rId27" Type="http://schemas.openxmlformats.org/officeDocument/2006/relationships/hyperlink" Target="https://pay.sumup.com/b2c/XBUB3SZ21W" TargetMode="External"/><Relationship Id="rId28" Type="http://schemas.openxmlformats.org/officeDocument/2006/relationships/hyperlink" Target="https://pay.sumup.com/b2c/X0URRRMLYI" TargetMode="External"/><Relationship Id="rId29" Type="http://schemas.openxmlformats.org/officeDocument/2006/relationships/hyperlink" Target="https://pay.sumup.com/b2c/X4O52Y8PEV" TargetMode="External"/><Relationship Id="rId30" Type="http://schemas.openxmlformats.org/officeDocument/2006/relationships/hyperlink" Target="https://pay.sumup.com/b2c/XQWR240BR3" TargetMode="External"/><Relationship Id="rId31" Type="http://schemas.openxmlformats.org/officeDocument/2006/relationships/hyperlink" Target="https://pay.sumup.com/b2c/XSP9GC1WZR" TargetMode="External"/><Relationship Id="rId32" Type="http://schemas.openxmlformats.org/officeDocument/2006/relationships/hyperlink" Target="https://pay.sumup.com/b2c/XLH7VOSPN7" TargetMode="External"/><Relationship Id="rId33" Type="http://schemas.openxmlformats.org/officeDocument/2006/relationships/hyperlink" Target="https://pay.sumup.com/b2c/XN5XZOM95H" TargetMode="External"/><Relationship Id="rId34" Type="http://schemas.openxmlformats.org/officeDocument/2006/relationships/hyperlink" Target="https://pay.sumup.com/b2c/XL5UJQ2YZC" TargetMode="External"/><Relationship Id="rId35" Type="http://schemas.openxmlformats.org/officeDocument/2006/relationships/hyperlink" Target="https://pay.sumup.com/b2c/XGMT7095L4" TargetMode="External"/><Relationship Id="rId36" Type="http://schemas.openxmlformats.org/officeDocument/2006/relationships/hyperlink" Target="https://pay.sumup.com/b2c/XWK7EXCO8V" TargetMode="External"/><Relationship Id="rId37" Type="http://schemas.openxmlformats.org/officeDocument/2006/relationships/hyperlink" Target="https://pay.sumup.com/b2c/X476O8WK4G" TargetMode="External"/><Relationship Id="rId38" Type="http://schemas.openxmlformats.org/officeDocument/2006/relationships/hyperlink" Target="https://pay.sumup.com/b2c/X8TO8U5LS0" TargetMode="External"/><Relationship Id="rId39" Type="http://schemas.openxmlformats.org/officeDocument/2006/relationships/hyperlink" Target="https://pay.sumup.com/b2c/X1HLZU5XCT" TargetMode="External"/><Relationship Id="rId40" Type="http://schemas.openxmlformats.org/officeDocument/2006/relationships/hyperlink" Target="https://pay.sumup.com/b2c/X1AUMMKIT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3" min="2" style="1" width="11.24"/>
    <col collapsed="false" customWidth="true" hidden="false" outlineLevel="0" max="7" min="6" style="1" width="11.24"/>
    <col collapsed="false" customWidth="true" hidden="false" outlineLevel="0" max="11" min="10" style="1" width="11.2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2.8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22.7" hidden="false" customHeight="true" outlineLevel="0" collapsed="false">
      <c r="B5" s="5" t="s">
        <v>2</v>
      </c>
      <c r="C5" s="5"/>
      <c r="D5" s="5"/>
      <c r="F5" s="5" t="s">
        <v>3</v>
      </c>
      <c r="G5" s="5"/>
      <c r="H5" s="5"/>
      <c r="J5" s="5" t="s">
        <v>4</v>
      </c>
      <c r="K5" s="5"/>
      <c r="L5" s="5"/>
    </row>
    <row r="6" customFormat="false" ht="22.7" hidden="false" customHeight="true" outlineLevel="0" collapsed="false">
      <c r="B6" s="6" t="s">
        <v>5</v>
      </c>
      <c r="C6" s="6"/>
      <c r="D6" s="7"/>
      <c r="F6" s="5" t="s">
        <v>6</v>
      </c>
      <c r="G6" s="5"/>
      <c r="H6" s="8"/>
      <c r="J6" s="5" t="s">
        <v>7</v>
      </c>
      <c r="K6" s="5"/>
      <c r="L6" s="8"/>
    </row>
    <row r="7" customFormat="false" ht="22.7" hidden="false" customHeight="true" outlineLevel="0" collapsed="false">
      <c r="B7" s="6" t="s">
        <v>8</v>
      </c>
      <c r="C7" s="6"/>
      <c r="D7" s="7"/>
      <c r="F7" s="9" t="s">
        <v>9</v>
      </c>
      <c r="G7" s="9"/>
      <c r="H7" s="8"/>
      <c r="J7" s="5" t="s">
        <v>10</v>
      </c>
      <c r="K7" s="5"/>
      <c r="L7" s="8"/>
    </row>
    <row r="8" customFormat="false" ht="22.7" hidden="false" customHeight="true" outlineLevel="0" collapsed="false">
      <c r="B8" s="6" t="s">
        <v>11</v>
      </c>
      <c r="C8" s="6"/>
      <c r="D8" s="7"/>
      <c r="F8" s="5" t="s">
        <v>12</v>
      </c>
      <c r="G8" s="5"/>
      <c r="H8" s="8"/>
      <c r="J8" s="5" t="s">
        <v>13</v>
      </c>
      <c r="K8" s="5"/>
      <c r="L8" s="8"/>
    </row>
    <row r="9" customFormat="false" ht="22.7" hidden="false" customHeight="true" outlineLevel="0" collapsed="false">
      <c r="B9" s="6" t="s">
        <v>14</v>
      </c>
      <c r="C9" s="6"/>
      <c r="D9" s="7"/>
      <c r="F9" s="5" t="s">
        <v>15</v>
      </c>
      <c r="G9" s="5"/>
      <c r="H9" s="8"/>
      <c r="J9" s="5" t="s">
        <v>16</v>
      </c>
      <c r="K9" s="5"/>
      <c r="L9" s="8"/>
    </row>
    <row r="11" customFormat="false" ht="22.7" hidden="false" customHeight="true" outlineLevel="0" collapsed="false">
      <c r="B11" s="5" t="s">
        <v>17</v>
      </c>
      <c r="C11" s="5"/>
      <c r="D11" s="5"/>
      <c r="F11" s="5" t="s">
        <v>18</v>
      </c>
      <c r="G11" s="5"/>
      <c r="H11" s="5"/>
      <c r="J11" s="5" t="s">
        <v>19</v>
      </c>
      <c r="K11" s="5"/>
      <c r="L11" s="5"/>
    </row>
    <row r="12" customFormat="false" ht="22.7" hidden="false" customHeight="true" outlineLevel="0" collapsed="false">
      <c r="B12" s="5" t="s">
        <v>20</v>
      </c>
      <c r="C12" s="5"/>
      <c r="D12" s="10"/>
      <c r="F12" s="5" t="s">
        <v>21</v>
      </c>
      <c r="G12" s="5"/>
      <c r="H12" s="10"/>
      <c r="J12" s="5" t="s">
        <v>22</v>
      </c>
      <c r="K12" s="5"/>
      <c r="L12" s="10"/>
    </row>
    <row r="13" customFormat="false" ht="22.7" hidden="false" customHeight="true" outlineLevel="0" collapsed="false">
      <c r="B13" s="5" t="s">
        <v>23</v>
      </c>
      <c r="C13" s="5"/>
      <c r="D13" s="10"/>
      <c r="F13" s="5" t="s">
        <v>24</v>
      </c>
      <c r="G13" s="5"/>
      <c r="H13" s="10"/>
      <c r="J13" s="5" t="s">
        <v>25</v>
      </c>
      <c r="K13" s="5"/>
      <c r="L13" s="10"/>
    </row>
    <row r="14" customFormat="false" ht="22.7" hidden="false" customHeight="true" outlineLevel="0" collapsed="false">
      <c r="B14" s="5" t="s">
        <v>26</v>
      </c>
      <c r="C14" s="5"/>
      <c r="D14" s="10"/>
      <c r="F14" s="5" t="s">
        <v>27</v>
      </c>
      <c r="G14" s="5"/>
      <c r="H14" s="10"/>
      <c r="J14" s="5" t="s">
        <v>28</v>
      </c>
      <c r="K14" s="5"/>
      <c r="L14" s="10"/>
    </row>
    <row r="15" customFormat="false" ht="22.7" hidden="false" customHeight="true" outlineLevel="0" collapsed="false">
      <c r="B15" s="5" t="s">
        <v>29</v>
      </c>
      <c r="C15" s="5"/>
      <c r="D15" s="10"/>
      <c r="F15" s="5" t="s">
        <v>30</v>
      </c>
      <c r="G15" s="5"/>
      <c r="H15" s="10"/>
      <c r="J15" s="5" t="s">
        <v>31</v>
      </c>
      <c r="K15" s="5"/>
      <c r="L15" s="10"/>
    </row>
    <row r="17" customFormat="false" ht="22.7" hidden="false" customHeight="true" outlineLevel="0" collapsed="false">
      <c r="B17" s="5" t="s">
        <v>32</v>
      </c>
      <c r="C17" s="5"/>
      <c r="D17" s="5"/>
      <c r="F17" s="5" t="s">
        <v>33</v>
      </c>
      <c r="G17" s="5"/>
      <c r="H17" s="5"/>
      <c r="J17" s="5" t="s">
        <v>34</v>
      </c>
      <c r="K17" s="5"/>
      <c r="L17" s="5"/>
    </row>
    <row r="18" customFormat="false" ht="22.7" hidden="false" customHeight="true" outlineLevel="0" collapsed="false">
      <c r="B18" s="5" t="s">
        <v>35</v>
      </c>
      <c r="C18" s="5"/>
      <c r="D18" s="5"/>
      <c r="F18" s="5" t="s">
        <v>36</v>
      </c>
      <c r="G18" s="5"/>
      <c r="H18" s="5"/>
      <c r="J18" s="5" t="s">
        <v>37</v>
      </c>
      <c r="K18" s="5"/>
      <c r="L18" s="5"/>
    </row>
    <row r="19" customFormat="false" ht="22.7" hidden="false" customHeight="true" outlineLevel="0" collapsed="false">
      <c r="B19" s="5" t="s">
        <v>38</v>
      </c>
      <c r="C19" s="5"/>
      <c r="D19" s="5"/>
      <c r="F19" s="5" t="s">
        <v>39</v>
      </c>
      <c r="G19" s="5"/>
      <c r="H19" s="5"/>
      <c r="J19" s="5" t="s">
        <v>40</v>
      </c>
      <c r="K19" s="5"/>
      <c r="L19" s="5"/>
    </row>
    <row r="20" customFormat="false" ht="22.7" hidden="false" customHeight="true" outlineLevel="0" collapsed="false">
      <c r="B20" s="5" t="s">
        <v>41</v>
      </c>
      <c r="C20" s="5"/>
      <c r="D20" s="5"/>
      <c r="F20" s="5" t="s">
        <v>42</v>
      </c>
      <c r="G20" s="5"/>
      <c r="H20" s="5"/>
      <c r="J20" s="5" t="s">
        <v>43</v>
      </c>
      <c r="K20" s="5"/>
      <c r="L20" s="5"/>
    </row>
    <row r="21" customFormat="false" ht="22.7" hidden="false" customHeight="true" outlineLevel="0" collapsed="false">
      <c r="B21" s="5" t="s">
        <v>44</v>
      </c>
      <c r="C21" s="5"/>
      <c r="D21" s="5"/>
      <c r="F21" s="5" t="s">
        <v>45</v>
      </c>
      <c r="G21" s="5"/>
      <c r="H21" s="5"/>
      <c r="J21" s="5" t="s">
        <v>46</v>
      </c>
      <c r="K21" s="5"/>
      <c r="L21" s="5"/>
    </row>
    <row r="23" customFormat="false" ht="22.7" hidden="false" customHeight="true" outlineLevel="0" collapsed="false">
      <c r="B23" s="5" t="s">
        <v>47</v>
      </c>
      <c r="C23" s="5"/>
      <c r="D23" s="5"/>
      <c r="F23" s="5" t="s">
        <v>48</v>
      </c>
      <c r="G23" s="5"/>
      <c r="H23" s="5"/>
      <c r="J23" s="5" t="s">
        <v>49</v>
      </c>
      <c r="K23" s="5"/>
      <c r="L23" s="5"/>
    </row>
    <row r="24" customFormat="false" ht="22.7" hidden="false" customHeight="true" outlineLevel="0" collapsed="false">
      <c r="B24" s="5" t="s">
        <v>50</v>
      </c>
      <c r="C24" s="5"/>
      <c r="D24" s="5"/>
      <c r="F24" s="5" t="s">
        <v>51</v>
      </c>
      <c r="G24" s="5"/>
      <c r="H24" s="5"/>
      <c r="J24" s="5" t="s">
        <v>52</v>
      </c>
      <c r="K24" s="5"/>
      <c r="L24" s="5"/>
    </row>
    <row r="25" customFormat="false" ht="22.7" hidden="false" customHeight="true" outlineLevel="0" collapsed="false">
      <c r="B25" s="5" t="s">
        <v>53</v>
      </c>
      <c r="C25" s="5"/>
      <c r="D25" s="5"/>
      <c r="F25" s="5" t="s">
        <v>54</v>
      </c>
      <c r="G25" s="5"/>
      <c r="H25" s="5"/>
      <c r="J25" s="5" t="s">
        <v>55</v>
      </c>
      <c r="K25" s="5"/>
      <c r="L25" s="5"/>
    </row>
    <row r="26" customFormat="false" ht="22.7" hidden="false" customHeight="true" outlineLevel="0" collapsed="false">
      <c r="B26" s="5" t="s">
        <v>56</v>
      </c>
      <c r="C26" s="5"/>
      <c r="D26" s="5"/>
      <c r="F26" s="5" t="s">
        <v>57</v>
      </c>
      <c r="G26" s="5"/>
      <c r="H26" s="5"/>
      <c r="J26" s="5" t="s">
        <v>58</v>
      </c>
      <c r="K26" s="5"/>
      <c r="L26" s="5"/>
    </row>
    <row r="27" customFormat="false" ht="22.7" hidden="false" customHeight="true" outlineLevel="0" collapsed="false">
      <c r="B27" s="5" t="s">
        <v>59</v>
      </c>
      <c r="C27" s="5"/>
      <c r="D27" s="5"/>
      <c r="F27" s="5" t="s">
        <v>60</v>
      </c>
      <c r="G27" s="5"/>
      <c r="H27" s="5"/>
      <c r="J27" s="5" t="s">
        <v>61</v>
      </c>
      <c r="K27" s="5"/>
      <c r="L27" s="5"/>
    </row>
    <row r="29" customFormat="false" ht="15" hidden="false" customHeight="true" outlineLevel="0" collapsed="false">
      <c r="A29" s="11"/>
      <c r="B29" s="4" t="s">
        <v>62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11"/>
    </row>
    <row r="31" customFormat="false" ht="12.8" hidden="false" customHeight="true" outlineLevel="0" collapsed="false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2.8" hidden="false" customHeight="true" outlineLevel="0" collapsed="false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4" customFormat="false" ht="12.8" hidden="false" customHeight="true" outlineLevel="0" collapsed="false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2.8" hidden="false" customHeight="true" outlineLevel="0" collapsed="false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7" customFormat="false" ht="12.8" hidden="false" customHeight="true" outlineLevel="0" collapsed="false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customFormat="false" ht="12.8" hidden="false" customHeight="true" outlineLevel="0" collapsed="false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40" customFormat="false" ht="12.8" hidden="false" customHeight="true" outlineLevel="0" collapsed="false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customFormat="false" ht="12.8" hidden="false" customHeight="true" outlineLevel="0" collapsed="false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3" customFormat="false" ht="15" hidden="false" customHeight="true" outlineLevel="0" collapsed="false">
      <c r="B43" s="4" t="s">
        <v>63</v>
      </c>
      <c r="C43" s="4"/>
      <c r="D43" s="4"/>
      <c r="E43" s="4"/>
      <c r="F43" s="4"/>
      <c r="G43" s="4"/>
      <c r="H43" s="4"/>
      <c r="I43" s="4"/>
      <c r="J43" s="4"/>
      <c r="K43" s="4"/>
      <c r="L43" s="4"/>
    </row>
    <row r="45" customFormat="false" ht="12.8" hidden="false" customHeight="true" outlineLevel="0" collapsed="false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customFormat="false" ht="12.8" hidden="false" customHeight="true" outlineLevel="0" collapsed="false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customFormat="false" ht="12.8" hidden="false" customHeight="true" outlineLevel="0" collapsed="false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12.8" hidden="false" customHeight="true" outlineLevel="0" collapsed="false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1" customFormat="false" ht="15" hidden="false" customHeight="true" outlineLevel="0" collapsed="false">
      <c r="B51" s="4" t="s">
        <v>64</v>
      </c>
      <c r="C51" s="4"/>
      <c r="D51" s="4"/>
      <c r="E51" s="4"/>
      <c r="F51" s="4"/>
      <c r="G51" s="4"/>
      <c r="H51" s="4"/>
      <c r="I51" s="4"/>
      <c r="J51" s="4"/>
      <c r="K51" s="4"/>
      <c r="L51" s="4"/>
    </row>
    <row r="53" customFormat="false" ht="12.8" hidden="false" customHeight="true" outlineLevel="0" collapsed="false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customFormat="false" ht="12.8" hidden="false" customHeight="true" outlineLevel="0" collapsed="false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6" customFormat="false" ht="15" hidden="false" customHeight="true" outlineLevel="0" collapsed="false">
      <c r="B56" s="4" t="s">
        <v>65</v>
      </c>
      <c r="C56" s="4"/>
      <c r="D56" s="4"/>
      <c r="E56" s="4"/>
      <c r="F56" s="4"/>
      <c r="G56" s="4"/>
      <c r="H56" s="4"/>
      <c r="I56" s="4"/>
      <c r="J56" s="4"/>
      <c r="K56" s="4"/>
      <c r="L56" s="4"/>
    </row>
    <row r="58" customFormat="false" ht="12.8" hidden="false" customHeight="true" outlineLevel="0" collapsed="false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2.8" hidden="false" customHeight="true" outlineLevel="0" collapsed="false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1" customFormat="false" ht="15" hidden="false" customHeight="true" outlineLevel="0" collapsed="false">
      <c r="B61" s="4" t="s">
        <v>66</v>
      </c>
      <c r="C61" s="4"/>
      <c r="D61" s="4"/>
      <c r="E61" s="4"/>
      <c r="F61" s="4"/>
      <c r="G61" s="4"/>
      <c r="H61" s="4"/>
      <c r="I61" s="4"/>
      <c r="J61" s="4"/>
      <c r="K61" s="4"/>
      <c r="L61" s="4"/>
    </row>
    <row r="63" customFormat="false" ht="12.8" hidden="false" customHeight="true" outlineLevel="0" collapsed="false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2.8" hidden="false" customHeight="true" outlineLevel="0" collapsed="false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6" customFormat="false" ht="15" hidden="false" customHeight="true" outlineLevel="0" collapsed="false">
      <c r="B66" s="4" t="s">
        <v>67</v>
      </c>
      <c r="C66" s="4"/>
      <c r="D66" s="4"/>
      <c r="E66" s="4"/>
      <c r="F66" s="4"/>
      <c r="G66" s="4"/>
      <c r="H66" s="4"/>
      <c r="I66" s="4"/>
      <c r="J66" s="4"/>
      <c r="K66" s="4"/>
      <c r="L66" s="4"/>
    </row>
    <row r="68" customFormat="false" ht="12.8" hidden="false" customHeight="true" outlineLevel="0" collapsed="false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customFormat="false" ht="12.8" hidden="false" customHeight="true" outlineLevel="0" collapsed="false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3" customFormat="false" ht="12.8" hidden="false" customHeight="true" outlineLevel="0" collapsed="false">
      <c r="B73" s="12" t="s">
        <v>5</v>
      </c>
      <c r="C73" s="13"/>
    </row>
    <row r="74" customFormat="false" ht="12.8" hidden="false" customHeight="true" outlineLevel="0" collapsed="false">
      <c r="B74" s="12" t="s">
        <v>8</v>
      </c>
      <c r="C74" s="13"/>
    </row>
    <row r="75" customFormat="false" ht="12.8" hidden="false" customHeight="true" outlineLevel="0" collapsed="false">
      <c r="B75" s="12" t="s">
        <v>11</v>
      </c>
      <c r="C75" s="13"/>
    </row>
    <row r="76" customFormat="false" ht="12.8" hidden="false" customHeight="true" outlineLevel="0" collapsed="false">
      <c r="B76" s="12" t="s">
        <v>14</v>
      </c>
      <c r="C76" s="13"/>
    </row>
    <row r="77" customFormat="false" ht="12.8" hidden="false" customHeight="true" outlineLevel="0" collapsed="false">
      <c r="B77" s="12" t="s">
        <v>6</v>
      </c>
      <c r="C77" s="13"/>
    </row>
    <row r="78" customFormat="false" ht="12.8" hidden="false" customHeight="true" outlineLevel="0" collapsed="false">
      <c r="B78" s="12" t="s">
        <v>9</v>
      </c>
      <c r="C78" s="14"/>
    </row>
    <row r="79" customFormat="false" ht="12.8" hidden="false" customHeight="true" outlineLevel="0" collapsed="false">
      <c r="B79" s="12" t="s">
        <v>12</v>
      </c>
      <c r="C79" s="13"/>
    </row>
    <row r="80" customFormat="false" ht="12.8" hidden="false" customHeight="true" outlineLevel="0" collapsed="false">
      <c r="B80" s="12" t="s">
        <v>15</v>
      </c>
      <c r="C80" s="13"/>
    </row>
    <row r="81" customFormat="false" ht="12.8" hidden="false" customHeight="true" outlineLevel="0" collapsed="false">
      <c r="B81" s="12" t="s">
        <v>7</v>
      </c>
      <c r="C81" s="13"/>
    </row>
    <row r="82" customFormat="false" ht="12.8" hidden="false" customHeight="true" outlineLevel="0" collapsed="false">
      <c r="B82" s="12" t="s">
        <v>10</v>
      </c>
      <c r="C82" s="13"/>
    </row>
    <row r="83" customFormat="false" ht="12.8" hidden="false" customHeight="true" outlineLevel="0" collapsed="false">
      <c r="B83" s="12" t="s">
        <v>13</v>
      </c>
      <c r="C83" s="13"/>
    </row>
    <row r="84" customFormat="false" ht="12.8" hidden="false" customHeight="true" outlineLevel="0" collapsed="false">
      <c r="B84" s="12" t="s">
        <v>16</v>
      </c>
      <c r="C84" s="13"/>
    </row>
    <row r="85" customFormat="false" ht="12.8" hidden="false" customHeight="true" outlineLevel="0" collapsed="false">
      <c r="B85" s="12" t="s">
        <v>20</v>
      </c>
      <c r="C85" s="13"/>
    </row>
    <row r="86" customFormat="false" ht="12.8" hidden="false" customHeight="true" outlineLevel="0" collapsed="false">
      <c r="B86" s="12" t="s">
        <v>23</v>
      </c>
      <c r="C86" s="13"/>
    </row>
    <row r="87" customFormat="false" ht="12.8" hidden="false" customHeight="true" outlineLevel="0" collapsed="false">
      <c r="B87" s="12" t="s">
        <v>26</v>
      </c>
      <c r="C87" s="13"/>
    </row>
    <row r="88" customFormat="false" ht="12.8" hidden="false" customHeight="true" outlineLevel="0" collapsed="false">
      <c r="B88" s="12" t="s">
        <v>29</v>
      </c>
      <c r="C88" s="13"/>
    </row>
    <row r="89" customFormat="false" ht="12.8" hidden="false" customHeight="true" outlineLevel="0" collapsed="false">
      <c r="B89" s="12" t="s">
        <v>21</v>
      </c>
      <c r="C89" s="13"/>
    </row>
    <row r="90" customFormat="false" ht="12.8" hidden="false" customHeight="true" outlineLevel="0" collapsed="false">
      <c r="B90" s="12" t="s">
        <v>24</v>
      </c>
      <c r="C90" s="13"/>
    </row>
    <row r="91" customFormat="false" ht="12.8" hidden="false" customHeight="true" outlineLevel="0" collapsed="false">
      <c r="B91" s="12" t="s">
        <v>27</v>
      </c>
      <c r="C91" s="13"/>
    </row>
    <row r="92" customFormat="false" ht="12.8" hidden="false" customHeight="true" outlineLevel="0" collapsed="false">
      <c r="B92" s="12" t="s">
        <v>30</v>
      </c>
      <c r="C92" s="13"/>
    </row>
    <row r="93" customFormat="false" ht="12.8" hidden="false" customHeight="true" outlineLevel="0" collapsed="false">
      <c r="B93" s="12" t="s">
        <v>22</v>
      </c>
      <c r="C93" s="13"/>
    </row>
    <row r="94" customFormat="false" ht="12.8" hidden="false" customHeight="true" outlineLevel="0" collapsed="false">
      <c r="B94" s="12" t="s">
        <v>25</v>
      </c>
      <c r="C94" s="13"/>
    </row>
    <row r="95" customFormat="false" ht="12.8" hidden="false" customHeight="true" outlineLevel="0" collapsed="false">
      <c r="B95" s="12" t="s">
        <v>28</v>
      </c>
      <c r="C95" s="13"/>
    </row>
    <row r="96" customFormat="false" ht="12.8" hidden="false" customHeight="true" outlineLevel="0" collapsed="false">
      <c r="B96" s="12" t="s">
        <v>31</v>
      </c>
      <c r="C96" s="13"/>
    </row>
    <row r="97" customFormat="false" ht="12.8" hidden="false" customHeight="true" outlineLevel="0" collapsed="false">
      <c r="B97" s="12" t="s">
        <v>35</v>
      </c>
      <c r="C97" s="13"/>
    </row>
    <row r="98" customFormat="false" ht="12.8" hidden="false" customHeight="true" outlineLevel="0" collapsed="false">
      <c r="B98" s="12" t="s">
        <v>38</v>
      </c>
      <c r="C98" s="13"/>
    </row>
    <row r="99" customFormat="false" ht="12.8" hidden="false" customHeight="true" outlineLevel="0" collapsed="false">
      <c r="B99" s="12" t="s">
        <v>41</v>
      </c>
      <c r="C99" s="13"/>
    </row>
    <row r="100" customFormat="false" ht="12.8" hidden="false" customHeight="true" outlineLevel="0" collapsed="false">
      <c r="B100" s="12" t="s">
        <v>44</v>
      </c>
      <c r="C100" s="13"/>
    </row>
    <row r="101" customFormat="false" ht="12.8" hidden="false" customHeight="true" outlineLevel="0" collapsed="false">
      <c r="B101" s="12" t="s">
        <v>36</v>
      </c>
      <c r="C101" s="13"/>
    </row>
    <row r="102" customFormat="false" ht="12.8" hidden="false" customHeight="true" outlineLevel="0" collapsed="false">
      <c r="B102" s="12" t="s">
        <v>39</v>
      </c>
      <c r="C102" s="13"/>
    </row>
    <row r="103" customFormat="false" ht="12.8" hidden="false" customHeight="true" outlineLevel="0" collapsed="false">
      <c r="B103" s="12" t="s">
        <v>42</v>
      </c>
      <c r="C103" s="13"/>
    </row>
    <row r="104" customFormat="false" ht="12.8" hidden="false" customHeight="true" outlineLevel="0" collapsed="false">
      <c r="B104" s="12" t="s">
        <v>45</v>
      </c>
      <c r="C104" s="13"/>
    </row>
    <row r="105" customFormat="false" ht="12.8" hidden="false" customHeight="true" outlineLevel="0" collapsed="false">
      <c r="B105" s="12" t="s">
        <v>37</v>
      </c>
      <c r="C105" s="13"/>
    </row>
    <row r="106" customFormat="false" ht="12.8" hidden="false" customHeight="true" outlineLevel="0" collapsed="false">
      <c r="B106" s="12" t="s">
        <v>40</v>
      </c>
      <c r="C106" s="13"/>
    </row>
    <row r="107" customFormat="false" ht="12.8" hidden="false" customHeight="true" outlineLevel="0" collapsed="false">
      <c r="B107" s="12" t="s">
        <v>43</v>
      </c>
      <c r="C107" s="13"/>
    </row>
    <row r="108" customFormat="false" ht="12.8" hidden="false" customHeight="true" outlineLevel="0" collapsed="false">
      <c r="B108" s="12" t="s">
        <v>46</v>
      </c>
      <c r="C108" s="13"/>
    </row>
    <row r="109" customFormat="false" ht="12.8" hidden="false" customHeight="true" outlineLevel="0" collapsed="false">
      <c r="B109" s="12" t="s">
        <v>50</v>
      </c>
      <c r="C109" s="13"/>
    </row>
    <row r="110" customFormat="false" ht="12.8" hidden="false" customHeight="true" outlineLevel="0" collapsed="false">
      <c r="B110" s="12" t="s">
        <v>53</v>
      </c>
      <c r="C110" s="13"/>
    </row>
    <row r="111" customFormat="false" ht="12.8" hidden="false" customHeight="true" outlineLevel="0" collapsed="false">
      <c r="B111" s="12" t="s">
        <v>56</v>
      </c>
      <c r="C111" s="13"/>
    </row>
    <row r="112" customFormat="false" ht="12.8" hidden="false" customHeight="true" outlineLevel="0" collapsed="false">
      <c r="B112" s="12" t="s">
        <v>59</v>
      </c>
      <c r="C112" s="13"/>
    </row>
    <row r="113" customFormat="false" ht="12.8" hidden="false" customHeight="true" outlineLevel="0" collapsed="false">
      <c r="B113" s="12" t="s">
        <v>51</v>
      </c>
      <c r="C113" s="13"/>
    </row>
    <row r="114" customFormat="false" ht="12.8" hidden="false" customHeight="true" outlineLevel="0" collapsed="false">
      <c r="B114" s="12" t="s">
        <v>54</v>
      </c>
      <c r="C114" s="13"/>
    </row>
    <row r="115" customFormat="false" ht="12.8" hidden="false" customHeight="true" outlineLevel="0" collapsed="false">
      <c r="B115" s="12" t="s">
        <v>57</v>
      </c>
      <c r="C115" s="13"/>
    </row>
    <row r="116" customFormat="false" ht="12.8" hidden="false" customHeight="true" outlineLevel="0" collapsed="false">
      <c r="B116" s="12" t="s">
        <v>60</v>
      </c>
      <c r="C116" s="13"/>
    </row>
    <row r="117" customFormat="false" ht="12.8" hidden="false" customHeight="true" outlineLevel="0" collapsed="false">
      <c r="B117" s="12" t="s">
        <v>52</v>
      </c>
      <c r="C117" s="13"/>
    </row>
    <row r="118" customFormat="false" ht="12.8" hidden="false" customHeight="true" outlineLevel="0" collapsed="false">
      <c r="B118" s="12" t="s">
        <v>55</v>
      </c>
      <c r="C118" s="13"/>
    </row>
    <row r="119" customFormat="false" ht="12.8" hidden="false" customHeight="true" outlineLevel="0" collapsed="false">
      <c r="B119" s="12" t="s">
        <v>58</v>
      </c>
      <c r="C119" s="13"/>
    </row>
    <row r="120" customFormat="false" ht="12.8" hidden="false" customHeight="true" outlineLevel="0" collapsed="false">
      <c r="B120" s="12" t="s">
        <v>61</v>
      </c>
      <c r="C120" s="13"/>
    </row>
  </sheetData>
  <mergeCells count="79">
    <mergeCell ref="A1:M1"/>
    <mergeCell ref="A2:M2"/>
    <mergeCell ref="B3:L3"/>
    <mergeCell ref="B5:D5"/>
    <mergeCell ref="F5:H5"/>
    <mergeCell ref="J5:L5"/>
    <mergeCell ref="B6:C6"/>
    <mergeCell ref="F6:G6"/>
    <mergeCell ref="J6:K6"/>
    <mergeCell ref="B7:C7"/>
    <mergeCell ref="F7:G7"/>
    <mergeCell ref="J7:K7"/>
    <mergeCell ref="B8:C8"/>
    <mergeCell ref="F8:G8"/>
    <mergeCell ref="J8:K8"/>
    <mergeCell ref="B9:C9"/>
    <mergeCell ref="F9:G9"/>
    <mergeCell ref="J9:K9"/>
    <mergeCell ref="B11:D11"/>
    <mergeCell ref="F11:H11"/>
    <mergeCell ref="J11:L11"/>
    <mergeCell ref="B12:C12"/>
    <mergeCell ref="F12:G12"/>
    <mergeCell ref="J12:K12"/>
    <mergeCell ref="B13:C13"/>
    <mergeCell ref="F13:G13"/>
    <mergeCell ref="J13:K13"/>
    <mergeCell ref="B14:C14"/>
    <mergeCell ref="F14:G14"/>
    <mergeCell ref="J14:K14"/>
    <mergeCell ref="B15:C15"/>
    <mergeCell ref="F15:G15"/>
    <mergeCell ref="J15:K15"/>
    <mergeCell ref="B17:D17"/>
    <mergeCell ref="F17:H17"/>
    <mergeCell ref="J17:L17"/>
    <mergeCell ref="B18:C18"/>
    <mergeCell ref="F18:G18"/>
    <mergeCell ref="J18:K18"/>
    <mergeCell ref="B19:C19"/>
    <mergeCell ref="F19:G19"/>
    <mergeCell ref="J19:K19"/>
    <mergeCell ref="B20:C20"/>
    <mergeCell ref="F20:G20"/>
    <mergeCell ref="J20:K20"/>
    <mergeCell ref="B21:C21"/>
    <mergeCell ref="F21:G21"/>
    <mergeCell ref="J21:K21"/>
    <mergeCell ref="B23:D23"/>
    <mergeCell ref="F23:H23"/>
    <mergeCell ref="J23:L23"/>
    <mergeCell ref="B24:C24"/>
    <mergeCell ref="F24:G24"/>
    <mergeCell ref="J24:K24"/>
    <mergeCell ref="B25:C25"/>
    <mergeCell ref="F25:G25"/>
    <mergeCell ref="J25:K25"/>
    <mergeCell ref="B26:C26"/>
    <mergeCell ref="F26:G26"/>
    <mergeCell ref="J26:K26"/>
    <mergeCell ref="B27:C27"/>
    <mergeCell ref="F27:G27"/>
    <mergeCell ref="J27:K27"/>
    <mergeCell ref="B29:L29"/>
    <mergeCell ref="B31:L32"/>
    <mergeCell ref="B34:L35"/>
    <mergeCell ref="B37:L38"/>
    <mergeCell ref="B40:L41"/>
    <mergeCell ref="B43:L43"/>
    <mergeCell ref="B45:L46"/>
    <mergeCell ref="B48:L49"/>
    <mergeCell ref="B51:L51"/>
    <mergeCell ref="B53:L54"/>
    <mergeCell ref="B56:L56"/>
    <mergeCell ref="B58:L59"/>
    <mergeCell ref="B61:L61"/>
    <mergeCell ref="B63:L64"/>
    <mergeCell ref="B66:L66"/>
    <mergeCell ref="B68:L69"/>
  </mergeCells>
  <printOptions headings="false" gridLines="false" gridLinesSet="true" horizontalCentered="true" verticalCentered="false"/>
  <pageMargins left="0.295138888888889" right="0.295138888888889" top="0.560416666666667" bottom="0.560416666666667" header="0.295138888888889" footer="0.295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15" width="20.25"/>
    <col collapsed="false" customWidth="true" hidden="false" outlineLevel="0" max="4" min="3" style="1" width="4.5"/>
    <col collapsed="false" customWidth="true" hidden="false" outlineLevel="0" max="5" min="5" style="1" width="20.25"/>
    <col collapsed="false" customWidth="true" hidden="false" outlineLevel="0" max="6" min="6" style="1" width="15.36"/>
  </cols>
  <sheetData>
    <row r="1" customFormat="false" ht="13.8" hidden="false" customHeight="false" outlineLevel="0" collapsed="false">
      <c r="A1" s="16" t="s">
        <v>68</v>
      </c>
      <c r="B1" s="15" t="s">
        <v>69</v>
      </c>
      <c r="C1" s="17" t="s">
        <v>70</v>
      </c>
      <c r="D1" s="17"/>
      <c r="E1" s="18" t="s">
        <v>71</v>
      </c>
      <c r="G1" s="16" t="s">
        <v>72</v>
      </c>
      <c r="H1" s="18" t="n">
        <f aca="false">SUM(C2:D105)</f>
        <v>38</v>
      </c>
    </row>
    <row r="2" customFormat="false" ht="13.8" hidden="false" customHeight="false" outlineLevel="0" collapsed="false">
      <c r="A2" s="19" t="n">
        <v>46184</v>
      </c>
      <c r="B2" s="16" t="s">
        <v>5</v>
      </c>
      <c r="C2" s="20" t="n">
        <v>2</v>
      </c>
      <c r="D2" s="20" t="n">
        <v>0</v>
      </c>
      <c r="E2" s="21" t="s">
        <v>8</v>
      </c>
      <c r="F2" s="1" t="s">
        <v>73</v>
      </c>
    </row>
    <row r="3" customFormat="false" ht="13.8" hidden="false" customHeight="false" outlineLevel="0" collapsed="false">
      <c r="A3" s="19" t="n">
        <v>46185</v>
      </c>
      <c r="B3" s="16" t="s">
        <v>11</v>
      </c>
      <c r="C3" s="22" t="n">
        <v>2</v>
      </c>
      <c r="D3" s="22" t="n">
        <v>1</v>
      </c>
      <c r="E3" s="21" t="s">
        <v>14</v>
      </c>
    </row>
    <row r="4" customFormat="false" ht="13.8" hidden="false" customHeight="false" outlineLevel="0" collapsed="false">
      <c r="A4" s="19" t="n">
        <v>46185</v>
      </c>
      <c r="B4" s="16" t="s">
        <v>6</v>
      </c>
      <c r="C4" s="22" t="n">
        <v>1</v>
      </c>
      <c r="D4" s="22" t="n">
        <v>1</v>
      </c>
      <c r="E4" s="21" t="s">
        <v>9</v>
      </c>
    </row>
    <row r="5" customFormat="false" ht="13.8" hidden="false" customHeight="false" outlineLevel="0" collapsed="false">
      <c r="A5" s="19" t="n">
        <v>46186</v>
      </c>
      <c r="B5" s="16" t="s">
        <v>20</v>
      </c>
      <c r="C5" s="22" t="n">
        <v>4</v>
      </c>
      <c r="D5" s="22" t="n">
        <v>1</v>
      </c>
      <c r="E5" s="21" t="s">
        <v>23</v>
      </c>
    </row>
    <row r="6" customFormat="false" ht="13.8" hidden="false" customHeight="false" outlineLevel="0" collapsed="false">
      <c r="A6" s="19" t="n">
        <v>46186</v>
      </c>
      <c r="B6" s="16" t="s">
        <v>12</v>
      </c>
      <c r="C6" s="22" t="n">
        <v>1</v>
      </c>
      <c r="D6" s="22" t="n">
        <v>1</v>
      </c>
      <c r="E6" s="21" t="s">
        <v>15</v>
      </c>
    </row>
    <row r="7" customFormat="false" ht="13.8" hidden="false" customHeight="false" outlineLevel="0" collapsed="false">
      <c r="A7" s="19" t="n">
        <v>46186</v>
      </c>
      <c r="B7" s="16" t="s">
        <v>7</v>
      </c>
      <c r="C7" s="22" t="n">
        <v>1</v>
      </c>
      <c r="D7" s="22" t="n">
        <v>1</v>
      </c>
      <c r="E7" s="21" t="s">
        <v>10</v>
      </c>
    </row>
    <row r="8" customFormat="false" ht="13.8" hidden="false" customHeight="false" outlineLevel="0" collapsed="false">
      <c r="A8" s="19" t="n">
        <v>46187</v>
      </c>
      <c r="B8" s="16" t="s">
        <v>13</v>
      </c>
      <c r="C8" s="22" t="n">
        <v>0</v>
      </c>
      <c r="D8" s="22" t="n">
        <v>1</v>
      </c>
      <c r="E8" s="21" t="s">
        <v>16</v>
      </c>
    </row>
    <row r="9" customFormat="false" ht="13.8" hidden="false" customHeight="false" outlineLevel="0" collapsed="false">
      <c r="A9" s="19" t="n">
        <v>46187</v>
      </c>
      <c r="B9" s="16" t="s">
        <v>26</v>
      </c>
      <c r="C9" s="22" t="n">
        <v>2</v>
      </c>
      <c r="D9" s="22" t="n">
        <v>0</v>
      </c>
      <c r="E9" s="21" t="s">
        <v>29</v>
      </c>
    </row>
    <row r="10" customFormat="false" ht="13.8" hidden="false" customHeight="false" outlineLevel="0" collapsed="false">
      <c r="A10" s="19" t="n">
        <v>46187</v>
      </c>
      <c r="B10" s="16" t="s">
        <v>21</v>
      </c>
      <c r="C10" s="22" t="n">
        <v>7</v>
      </c>
      <c r="D10" s="22" t="n">
        <v>1</v>
      </c>
      <c r="E10" s="21" t="s">
        <v>24</v>
      </c>
    </row>
    <row r="11" customFormat="false" ht="13.8" hidden="false" customHeight="false" outlineLevel="0" collapsed="false">
      <c r="A11" s="19" t="n">
        <v>46187</v>
      </c>
      <c r="B11" s="16" t="s">
        <v>22</v>
      </c>
      <c r="C11" s="22" t="n">
        <v>2</v>
      </c>
      <c r="D11" s="22" t="n">
        <v>2</v>
      </c>
      <c r="E11" s="21" t="s">
        <v>25</v>
      </c>
    </row>
    <row r="12" customFormat="false" ht="13.8" hidden="false" customHeight="false" outlineLevel="0" collapsed="false">
      <c r="A12" s="19" t="n">
        <v>46188</v>
      </c>
      <c r="B12" s="16" t="s">
        <v>27</v>
      </c>
      <c r="C12" s="22" t="n">
        <v>1</v>
      </c>
      <c r="D12" s="22" t="n">
        <v>0</v>
      </c>
      <c r="E12" s="21" t="s">
        <v>30</v>
      </c>
    </row>
    <row r="13" customFormat="false" ht="13.8" hidden="false" customHeight="false" outlineLevel="0" collapsed="false">
      <c r="A13" s="19" t="n">
        <v>46188</v>
      </c>
      <c r="B13" s="16" t="s">
        <v>28</v>
      </c>
      <c r="C13" s="22" t="n">
        <v>5</v>
      </c>
      <c r="D13" s="22" t="n">
        <v>1</v>
      </c>
      <c r="E13" s="21" t="s">
        <v>31</v>
      </c>
    </row>
    <row r="14" customFormat="false" ht="13.8" hidden="false" customHeight="false" outlineLevel="0" collapsed="false">
      <c r="A14" s="19" t="n">
        <v>46188</v>
      </c>
      <c r="B14" s="16" t="s">
        <v>36</v>
      </c>
      <c r="C14" s="22" t="n">
        <v>0</v>
      </c>
      <c r="D14" s="22" t="n">
        <v>0</v>
      </c>
      <c r="E14" s="21" t="s">
        <v>39</v>
      </c>
    </row>
    <row r="15" customFormat="false" ht="13.8" hidden="false" customHeight="false" outlineLevel="0" collapsed="false">
      <c r="A15" s="19" t="n">
        <v>46188</v>
      </c>
      <c r="B15" s="16" t="s">
        <v>35</v>
      </c>
      <c r="C15" s="22"/>
      <c r="D15" s="22"/>
      <c r="E15" s="21" t="s">
        <v>38</v>
      </c>
    </row>
    <row r="16" customFormat="false" ht="13.8" hidden="false" customHeight="false" outlineLevel="0" collapsed="false">
      <c r="A16" s="19" t="n">
        <v>46188</v>
      </c>
      <c r="B16" s="16" t="s">
        <v>42</v>
      </c>
      <c r="C16" s="22"/>
      <c r="D16" s="22"/>
      <c r="E16" s="21" t="s">
        <v>45</v>
      </c>
    </row>
    <row r="17" customFormat="false" ht="13.8" hidden="false" customHeight="false" outlineLevel="0" collapsed="false">
      <c r="A17" s="19" t="n">
        <v>46189</v>
      </c>
      <c r="B17" s="16" t="s">
        <v>41</v>
      </c>
      <c r="C17" s="22"/>
      <c r="D17" s="22"/>
      <c r="E17" s="21" t="s">
        <v>44</v>
      </c>
    </row>
    <row r="18" customFormat="false" ht="13.8" hidden="false" customHeight="false" outlineLevel="0" collapsed="false">
      <c r="A18" s="19" t="n">
        <v>46189</v>
      </c>
      <c r="B18" s="16" t="s">
        <v>37</v>
      </c>
      <c r="C18" s="22"/>
      <c r="D18" s="22"/>
      <c r="E18" s="21" t="s">
        <v>40</v>
      </c>
    </row>
    <row r="19" customFormat="false" ht="13.8" hidden="false" customHeight="false" outlineLevel="0" collapsed="false">
      <c r="A19" s="19" t="n">
        <v>46189</v>
      </c>
      <c r="B19" s="16" t="s">
        <v>43</v>
      </c>
      <c r="C19" s="22"/>
      <c r="D19" s="22"/>
      <c r="E19" s="21" t="s">
        <v>46</v>
      </c>
    </row>
    <row r="20" customFormat="false" ht="13.8" hidden="false" customHeight="false" outlineLevel="0" collapsed="false">
      <c r="A20" s="19" t="n">
        <v>46190</v>
      </c>
      <c r="B20" s="16" t="s">
        <v>50</v>
      </c>
      <c r="C20" s="22"/>
      <c r="D20" s="22"/>
      <c r="E20" s="21" t="s">
        <v>53</v>
      </c>
    </row>
    <row r="21" customFormat="false" ht="13.8" hidden="false" customHeight="false" outlineLevel="0" collapsed="false">
      <c r="A21" s="19" t="n">
        <v>46190</v>
      </c>
      <c r="B21" s="16" t="s">
        <v>56</v>
      </c>
      <c r="C21" s="22"/>
      <c r="D21" s="22"/>
      <c r="E21" s="21" t="s">
        <v>59</v>
      </c>
    </row>
    <row r="22" customFormat="false" ht="13.8" hidden="false" customHeight="false" outlineLevel="0" collapsed="false">
      <c r="A22" s="19" t="n">
        <v>46190</v>
      </c>
      <c r="B22" s="16" t="s">
        <v>51</v>
      </c>
      <c r="C22" s="22"/>
      <c r="D22" s="22"/>
      <c r="E22" s="21" t="s">
        <v>54</v>
      </c>
    </row>
    <row r="23" customFormat="false" ht="13.8" hidden="false" customHeight="false" outlineLevel="0" collapsed="false">
      <c r="A23" s="19" t="n">
        <v>46190</v>
      </c>
      <c r="B23" s="23" t="s">
        <v>52</v>
      </c>
      <c r="C23" s="22"/>
      <c r="D23" s="22"/>
      <c r="E23" s="21" t="s">
        <v>55</v>
      </c>
    </row>
    <row r="24" customFormat="false" ht="13.8" hidden="false" customHeight="false" outlineLevel="0" collapsed="false">
      <c r="A24" s="19" t="n">
        <v>46191</v>
      </c>
      <c r="B24" s="16" t="s">
        <v>58</v>
      </c>
      <c r="C24" s="22"/>
      <c r="D24" s="22"/>
      <c r="E24" s="21" t="s">
        <v>61</v>
      </c>
    </row>
    <row r="25" customFormat="false" ht="13.8" hidden="false" customHeight="false" outlineLevel="0" collapsed="false">
      <c r="A25" s="19" t="n">
        <v>46191</v>
      </c>
      <c r="B25" s="16" t="s">
        <v>57</v>
      </c>
      <c r="C25" s="22"/>
      <c r="D25" s="22"/>
      <c r="E25" s="21" t="s">
        <v>60</v>
      </c>
    </row>
    <row r="26" customFormat="false" ht="13.8" hidden="false" customHeight="false" outlineLevel="0" collapsed="false">
      <c r="A26" s="19" t="n">
        <v>46191</v>
      </c>
      <c r="B26" s="16" t="s">
        <v>14</v>
      </c>
      <c r="C26" s="22"/>
      <c r="D26" s="22"/>
      <c r="E26" s="21" t="s">
        <v>8</v>
      </c>
    </row>
    <row r="27" customFormat="false" ht="13.8" hidden="false" customHeight="false" outlineLevel="0" collapsed="false">
      <c r="A27" s="19" t="n">
        <v>46191</v>
      </c>
      <c r="B27" s="16" t="s">
        <v>15</v>
      </c>
      <c r="C27" s="22"/>
      <c r="D27" s="22"/>
      <c r="E27" s="21" t="s">
        <v>9</v>
      </c>
    </row>
    <row r="28" customFormat="false" ht="13.8" hidden="false" customHeight="false" outlineLevel="0" collapsed="false">
      <c r="A28" s="19" t="n">
        <v>46191</v>
      </c>
      <c r="B28" s="16" t="s">
        <v>6</v>
      </c>
      <c r="C28" s="22"/>
      <c r="D28" s="22"/>
      <c r="E28" s="21" t="s">
        <v>12</v>
      </c>
    </row>
    <row r="29" customFormat="false" ht="13.8" hidden="false" customHeight="false" outlineLevel="0" collapsed="false">
      <c r="A29" s="19" t="n">
        <v>46192</v>
      </c>
      <c r="B29" s="16" t="s">
        <v>5</v>
      </c>
      <c r="C29" s="22"/>
      <c r="D29" s="22"/>
      <c r="E29" s="21" t="s">
        <v>11</v>
      </c>
    </row>
    <row r="30" customFormat="false" ht="13.8" hidden="false" customHeight="false" outlineLevel="0" collapsed="false">
      <c r="A30" s="19" t="n">
        <v>46192</v>
      </c>
      <c r="B30" s="16" t="s">
        <v>20</v>
      </c>
      <c r="C30" s="22"/>
      <c r="D30" s="22"/>
      <c r="E30" s="21" t="s">
        <v>26</v>
      </c>
    </row>
    <row r="31" customFormat="false" ht="13.8" hidden="false" customHeight="false" outlineLevel="0" collapsed="false">
      <c r="A31" s="19" t="n">
        <v>46192</v>
      </c>
      <c r="B31" s="16" t="s">
        <v>16</v>
      </c>
      <c r="C31" s="22"/>
      <c r="D31" s="22"/>
      <c r="E31" s="21" t="s">
        <v>10</v>
      </c>
    </row>
    <row r="32" customFormat="false" ht="13.8" hidden="false" customHeight="false" outlineLevel="0" collapsed="false">
      <c r="A32" s="19" t="n">
        <v>46193</v>
      </c>
      <c r="B32" s="16" t="s">
        <v>7</v>
      </c>
      <c r="C32" s="22"/>
      <c r="D32" s="22"/>
      <c r="E32" s="21" t="s">
        <v>13</v>
      </c>
    </row>
    <row r="33" customFormat="false" ht="13.8" hidden="false" customHeight="false" outlineLevel="0" collapsed="false">
      <c r="A33" s="19" t="n">
        <v>46193</v>
      </c>
      <c r="B33" s="16" t="s">
        <v>29</v>
      </c>
      <c r="C33" s="22"/>
      <c r="D33" s="22"/>
      <c r="E33" s="21" t="s">
        <v>23</v>
      </c>
    </row>
    <row r="34" customFormat="false" ht="13.8" hidden="false" customHeight="false" outlineLevel="0" collapsed="false">
      <c r="A34" s="19" t="n">
        <v>46193</v>
      </c>
      <c r="B34" s="16" t="s">
        <v>22</v>
      </c>
      <c r="C34" s="22"/>
      <c r="D34" s="22"/>
      <c r="E34" s="21" t="s">
        <v>28</v>
      </c>
    </row>
    <row r="35" customFormat="false" ht="13.8" hidden="false" customHeight="false" outlineLevel="0" collapsed="false">
      <c r="A35" s="19" t="n">
        <v>46193</v>
      </c>
      <c r="B35" s="16" t="s">
        <v>21</v>
      </c>
      <c r="C35" s="22"/>
      <c r="D35" s="22"/>
      <c r="E35" s="21" t="s">
        <v>27</v>
      </c>
    </row>
    <row r="36" customFormat="false" ht="13.8" hidden="false" customHeight="false" outlineLevel="0" collapsed="false">
      <c r="A36" s="19" t="n">
        <v>46194</v>
      </c>
      <c r="B36" s="16" t="s">
        <v>30</v>
      </c>
      <c r="C36" s="22"/>
      <c r="D36" s="22"/>
      <c r="E36" s="21" t="s">
        <v>24</v>
      </c>
    </row>
    <row r="37" customFormat="false" ht="13.8" hidden="false" customHeight="false" outlineLevel="0" collapsed="false">
      <c r="A37" s="19" t="n">
        <v>46194</v>
      </c>
      <c r="B37" s="16" t="s">
        <v>31</v>
      </c>
      <c r="C37" s="22"/>
      <c r="D37" s="22"/>
      <c r="E37" s="21" t="s">
        <v>25</v>
      </c>
    </row>
    <row r="38" customFormat="false" ht="13.8" hidden="false" customHeight="false" outlineLevel="0" collapsed="false">
      <c r="A38" s="19" t="n">
        <v>46194</v>
      </c>
      <c r="B38" s="16" t="s">
        <v>36</v>
      </c>
      <c r="C38" s="22"/>
      <c r="D38" s="22"/>
      <c r="E38" s="21" t="s">
        <v>42</v>
      </c>
    </row>
    <row r="39" customFormat="false" ht="13.8" hidden="false" customHeight="false" outlineLevel="0" collapsed="false">
      <c r="A39" s="19" t="n">
        <v>46194</v>
      </c>
      <c r="B39" s="16" t="s">
        <v>35</v>
      </c>
      <c r="C39" s="22"/>
      <c r="D39" s="22"/>
      <c r="E39" s="21" t="s">
        <v>41</v>
      </c>
    </row>
    <row r="40" customFormat="false" ht="13.8" hidden="false" customHeight="false" outlineLevel="0" collapsed="false">
      <c r="A40" s="19" t="n">
        <v>46194</v>
      </c>
      <c r="B40" s="16" t="s">
        <v>45</v>
      </c>
      <c r="C40" s="22"/>
      <c r="D40" s="22"/>
      <c r="E40" s="21" t="s">
        <v>39</v>
      </c>
    </row>
    <row r="41" customFormat="false" ht="13.8" hidden="false" customHeight="false" outlineLevel="0" collapsed="false">
      <c r="A41" s="19" t="n">
        <v>46195</v>
      </c>
      <c r="B41" s="16" t="s">
        <v>44</v>
      </c>
      <c r="C41" s="22"/>
      <c r="D41" s="22"/>
      <c r="E41" s="21" t="s">
        <v>38</v>
      </c>
    </row>
    <row r="42" customFormat="false" ht="13.8" hidden="false" customHeight="false" outlineLevel="0" collapsed="false">
      <c r="A42" s="19" t="n">
        <v>46195</v>
      </c>
      <c r="B42" s="16" t="s">
        <v>50</v>
      </c>
      <c r="C42" s="22"/>
      <c r="D42" s="22"/>
      <c r="E42" s="21" t="s">
        <v>56</v>
      </c>
    </row>
    <row r="43" customFormat="false" ht="13.8" hidden="false" customHeight="false" outlineLevel="0" collapsed="false">
      <c r="A43" s="19" t="n">
        <v>46195</v>
      </c>
      <c r="B43" s="16" t="s">
        <v>37</v>
      </c>
      <c r="C43" s="22"/>
      <c r="D43" s="22"/>
      <c r="E43" s="21" t="s">
        <v>43</v>
      </c>
    </row>
    <row r="44" customFormat="false" ht="13.8" hidden="false" customHeight="false" outlineLevel="0" collapsed="false">
      <c r="A44" s="19" t="n">
        <v>46196</v>
      </c>
      <c r="B44" s="16" t="s">
        <v>46</v>
      </c>
      <c r="C44" s="22"/>
      <c r="D44" s="22"/>
      <c r="E44" s="21" t="s">
        <v>40</v>
      </c>
    </row>
    <row r="45" customFormat="false" ht="13.8" hidden="false" customHeight="false" outlineLevel="0" collapsed="false">
      <c r="A45" s="19" t="n">
        <v>46196</v>
      </c>
      <c r="B45" s="16" t="s">
        <v>59</v>
      </c>
      <c r="C45" s="22"/>
      <c r="D45" s="22"/>
      <c r="E45" s="21" t="s">
        <v>53</v>
      </c>
    </row>
    <row r="46" customFormat="false" ht="13.8" hidden="false" customHeight="false" outlineLevel="0" collapsed="false">
      <c r="A46" s="19" t="n">
        <v>46196</v>
      </c>
      <c r="B46" s="16" t="s">
        <v>51</v>
      </c>
      <c r="C46" s="22"/>
      <c r="D46" s="22"/>
      <c r="E46" s="21" t="s">
        <v>57</v>
      </c>
    </row>
    <row r="47" customFormat="false" ht="13.8" hidden="false" customHeight="false" outlineLevel="0" collapsed="false">
      <c r="A47" s="19" t="n">
        <v>46196</v>
      </c>
      <c r="B47" s="23" t="s">
        <v>52</v>
      </c>
      <c r="C47" s="22"/>
      <c r="D47" s="22"/>
      <c r="E47" s="21" t="s">
        <v>58</v>
      </c>
    </row>
    <row r="48" customFormat="false" ht="13.8" hidden="false" customHeight="false" outlineLevel="0" collapsed="false">
      <c r="A48" s="19" t="n">
        <v>46197</v>
      </c>
      <c r="B48" s="16" t="s">
        <v>61</v>
      </c>
      <c r="C48" s="22"/>
      <c r="D48" s="22"/>
      <c r="E48" s="21" t="s">
        <v>55</v>
      </c>
    </row>
    <row r="49" customFormat="false" ht="13.8" hidden="false" customHeight="false" outlineLevel="0" collapsed="false">
      <c r="A49" s="19" t="n">
        <v>46197</v>
      </c>
      <c r="B49" s="16" t="s">
        <v>60</v>
      </c>
      <c r="C49" s="22"/>
      <c r="D49" s="22"/>
      <c r="E49" s="21" t="s">
        <v>54</v>
      </c>
    </row>
    <row r="50" customFormat="false" ht="13.8" hidden="false" customHeight="false" outlineLevel="0" collapsed="false">
      <c r="A50" s="19" t="n">
        <v>46197</v>
      </c>
      <c r="B50" s="16" t="s">
        <v>15</v>
      </c>
      <c r="C50" s="22"/>
      <c r="D50" s="22"/>
      <c r="E50" s="21" t="s">
        <v>6</v>
      </c>
    </row>
    <row r="51" customFormat="false" ht="13.8" hidden="false" customHeight="false" outlineLevel="0" collapsed="false">
      <c r="A51" s="19" t="n">
        <v>46197</v>
      </c>
      <c r="B51" s="16" t="s">
        <v>9</v>
      </c>
      <c r="C51" s="22"/>
      <c r="D51" s="22"/>
      <c r="E51" s="21" t="s">
        <v>12</v>
      </c>
    </row>
    <row r="52" customFormat="false" ht="13.8" hidden="false" customHeight="false" outlineLevel="0" collapsed="false">
      <c r="A52" s="19" t="n">
        <v>46197</v>
      </c>
      <c r="B52" s="16" t="s">
        <v>16</v>
      </c>
      <c r="C52" s="22"/>
      <c r="D52" s="22"/>
      <c r="E52" s="21" t="s">
        <v>7</v>
      </c>
    </row>
    <row r="53" customFormat="false" ht="13.8" hidden="false" customHeight="false" outlineLevel="0" collapsed="false">
      <c r="A53" s="19" t="n">
        <v>46197</v>
      </c>
      <c r="B53" s="16" t="s">
        <v>10</v>
      </c>
      <c r="C53" s="22"/>
      <c r="D53" s="22"/>
      <c r="E53" s="21" t="s">
        <v>13</v>
      </c>
    </row>
    <row r="54" customFormat="false" ht="13.8" hidden="false" customHeight="false" outlineLevel="0" collapsed="false">
      <c r="A54" s="19" t="n">
        <v>46198</v>
      </c>
      <c r="B54" s="16" t="s">
        <v>14</v>
      </c>
      <c r="C54" s="22"/>
      <c r="D54" s="22"/>
      <c r="E54" s="21" t="s">
        <v>5</v>
      </c>
    </row>
    <row r="55" customFormat="false" ht="13.8" hidden="false" customHeight="false" outlineLevel="0" collapsed="false">
      <c r="A55" s="19" t="n">
        <v>46198</v>
      </c>
      <c r="B55" s="16" t="s">
        <v>8</v>
      </c>
      <c r="C55" s="22"/>
      <c r="D55" s="22"/>
      <c r="E55" s="21" t="s">
        <v>11</v>
      </c>
    </row>
    <row r="56" customFormat="false" ht="13.8" hidden="false" customHeight="false" outlineLevel="0" collapsed="false">
      <c r="A56" s="19" t="n">
        <v>46198</v>
      </c>
      <c r="B56" s="16" t="s">
        <v>24</v>
      </c>
      <c r="C56" s="22"/>
      <c r="D56" s="22"/>
      <c r="E56" s="21" t="s">
        <v>27</v>
      </c>
    </row>
    <row r="57" customFormat="false" ht="13.8" hidden="false" customHeight="false" outlineLevel="0" collapsed="false">
      <c r="A57" s="19" t="n">
        <v>46198</v>
      </c>
      <c r="B57" s="16" t="s">
        <v>30</v>
      </c>
      <c r="C57" s="22"/>
      <c r="D57" s="22"/>
      <c r="E57" s="21" t="s">
        <v>21</v>
      </c>
    </row>
    <row r="58" customFormat="false" ht="13.8" hidden="false" customHeight="false" outlineLevel="0" collapsed="false">
      <c r="A58" s="19" t="n">
        <v>46199</v>
      </c>
      <c r="B58" s="16" t="s">
        <v>25</v>
      </c>
      <c r="C58" s="22"/>
      <c r="D58" s="22"/>
      <c r="E58" s="21" t="s">
        <v>28</v>
      </c>
    </row>
    <row r="59" customFormat="false" ht="13.8" hidden="false" customHeight="false" outlineLevel="0" collapsed="false">
      <c r="A59" s="19" t="n">
        <v>46199</v>
      </c>
      <c r="B59" s="16" t="s">
        <v>31</v>
      </c>
      <c r="C59" s="22"/>
      <c r="D59" s="22"/>
      <c r="E59" s="21" t="s">
        <v>22</v>
      </c>
    </row>
    <row r="60" customFormat="false" ht="13.8" hidden="false" customHeight="false" outlineLevel="0" collapsed="false">
      <c r="A60" s="19" t="n">
        <v>46199</v>
      </c>
      <c r="B60" s="16" t="s">
        <v>29</v>
      </c>
      <c r="C60" s="22"/>
      <c r="D60" s="22"/>
      <c r="E60" s="21" t="s">
        <v>20</v>
      </c>
    </row>
    <row r="61" customFormat="false" ht="13.8" hidden="false" customHeight="false" outlineLevel="0" collapsed="false">
      <c r="A61" s="19" t="n">
        <v>46199</v>
      </c>
      <c r="B61" s="16" t="s">
        <v>23</v>
      </c>
      <c r="C61" s="22"/>
      <c r="D61" s="22"/>
      <c r="E61" s="21" t="s">
        <v>26</v>
      </c>
    </row>
    <row r="62" customFormat="false" ht="13.8" hidden="false" customHeight="false" outlineLevel="0" collapsed="false">
      <c r="A62" s="19" t="n">
        <v>46199</v>
      </c>
      <c r="B62" s="16" t="s">
        <v>46</v>
      </c>
      <c r="C62" s="22"/>
      <c r="D62" s="22"/>
      <c r="E62" s="21" t="s">
        <v>37</v>
      </c>
    </row>
    <row r="63" customFormat="false" ht="13.8" hidden="false" customHeight="false" outlineLevel="0" collapsed="false">
      <c r="A63" s="19" t="n">
        <v>46199</v>
      </c>
      <c r="B63" s="16" t="s">
        <v>40</v>
      </c>
      <c r="C63" s="22"/>
      <c r="D63" s="22"/>
      <c r="E63" s="21" t="s">
        <v>43</v>
      </c>
    </row>
    <row r="64" customFormat="false" ht="13.8" hidden="false" customHeight="false" outlineLevel="0" collapsed="false">
      <c r="A64" s="19" t="n">
        <v>46200</v>
      </c>
      <c r="B64" s="16" t="s">
        <v>39</v>
      </c>
      <c r="C64" s="22"/>
      <c r="D64" s="22"/>
      <c r="E64" s="21" t="s">
        <v>42</v>
      </c>
    </row>
    <row r="65" customFormat="false" ht="13.8" hidden="false" customHeight="false" outlineLevel="0" collapsed="false">
      <c r="A65" s="19" t="n">
        <v>46200</v>
      </c>
      <c r="B65" s="16" t="s">
        <v>45</v>
      </c>
      <c r="C65" s="22"/>
      <c r="D65" s="22"/>
      <c r="E65" s="21" t="s">
        <v>36</v>
      </c>
    </row>
    <row r="66" customFormat="false" ht="13.8" hidden="false" customHeight="false" outlineLevel="0" collapsed="false">
      <c r="A66" s="19" t="n">
        <v>46200</v>
      </c>
      <c r="B66" s="16" t="s">
        <v>38</v>
      </c>
      <c r="C66" s="22"/>
      <c r="D66" s="22"/>
      <c r="E66" s="21" t="s">
        <v>41</v>
      </c>
    </row>
    <row r="67" customFormat="false" ht="13.8" hidden="false" customHeight="false" outlineLevel="0" collapsed="false">
      <c r="A67" s="19" t="n">
        <v>46200</v>
      </c>
      <c r="B67" s="16" t="s">
        <v>44</v>
      </c>
      <c r="C67" s="22"/>
      <c r="D67" s="22"/>
      <c r="E67" s="21" t="s">
        <v>35</v>
      </c>
    </row>
    <row r="68" customFormat="false" ht="13.8" hidden="false" customHeight="false" outlineLevel="0" collapsed="false">
      <c r="A68" s="19" t="n">
        <v>46200</v>
      </c>
      <c r="B68" s="16" t="s">
        <v>61</v>
      </c>
      <c r="C68" s="22"/>
      <c r="D68" s="22"/>
      <c r="E68" s="24" t="s">
        <v>52</v>
      </c>
    </row>
    <row r="69" customFormat="false" ht="13.8" hidden="false" customHeight="false" outlineLevel="0" collapsed="false">
      <c r="A69" s="19" t="n">
        <v>46200</v>
      </c>
      <c r="B69" s="16" t="s">
        <v>55</v>
      </c>
      <c r="C69" s="22"/>
      <c r="D69" s="22"/>
      <c r="E69" s="21" t="s">
        <v>58</v>
      </c>
    </row>
    <row r="70" customFormat="false" ht="13.8" hidden="false" customHeight="false" outlineLevel="0" collapsed="false">
      <c r="A70" s="19" t="n">
        <v>46201</v>
      </c>
      <c r="B70" s="16" t="s">
        <v>60</v>
      </c>
      <c r="C70" s="22"/>
      <c r="D70" s="22"/>
      <c r="E70" s="21" t="s">
        <v>51</v>
      </c>
    </row>
    <row r="71" customFormat="false" ht="13.8" hidden="false" customHeight="false" outlineLevel="0" collapsed="false">
      <c r="A71" s="19" t="n">
        <v>46201</v>
      </c>
      <c r="B71" s="16" t="s">
        <v>54</v>
      </c>
      <c r="C71" s="22"/>
      <c r="D71" s="22"/>
      <c r="E71" s="21" t="s">
        <v>57</v>
      </c>
    </row>
    <row r="72" customFormat="false" ht="13.8" hidden="false" customHeight="false" outlineLevel="0" collapsed="false">
      <c r="A72" s="19" t="n">
        <v>46201</v>
      </c>
      <c r="B72" s="16" t="s">
        <v>53</v>
      </c>
      <c r="C72" s="22"/>
      <c r="D72" s="22"/>
      <c r="E72" s="21" t="s">
        <v>56</v>
      </c>
    </row>
    <row r="73" customFormat="false" ht="13.8" hidden="false" customHeight="false" outlineLevel="0" collapsed="false">
      <c r="A73" s="19" t="n">
        <v>46201</v>
      </c>
      <c r="B73" s="16" t="s">
        <v>59</v>
      </c>
      <c r="C73" s="22"/>
      <c r="D73" s="22"/>
      <c r="E73" s="21" t="s">
        <v>50</v>
      </c>
    </row>
    <row r="74" customFormat="false" ht="13.8" hidden="false" customHeight="false" outlineLevel="0" collapsed="false">
      <c r="A74" s="19" t="n">
        <v>46201</v>
      </c>
      <c r="B74" s="16"/>
      <c r="C74" s="22"/>
      <c r="D74" s="22"/>
      <c r="E74" s="21"/>
    </row>
    <row r="75" customFormat="false" ht="13.8" hidden="false" customHeight="false" outlineLevel="0" collapsed="false">
      <c r="A75" s="19" t="n">
        <v>46202</v>
      </c>
      <c r="B75" s="16"/>
      <c r="C75" s="22"/>
      <c r="D75" s="22"/>
      <c r="E75" s="21"/>
    </row>
    <row r="76" customFormat="false" ht="13.8" hidden="false" customHeight="false" outlineLevel="0" collapsed="false">
      <c r="A76" s="19" t="n">
        <v>46202</v>
      </c>
      <c r="B76" s="16"/>
      <c r="C76" s="22"/>
      <c r="D76" s="22"/>
      <c r="E76" s="21"/>
    </row>
    <row r="77" customFormat="false" ht="13.8" hidden="false" customHeight="false" outlineLevel="0" collapsed="false">
      <c r="A77" s="19" t="n">
        <v>46203</v>
      </c>
      <c r="B77" s="16"/>
      <c r="C77" s="22"/>
      <c r="D77" s="22"/>
      <c r="E77" s="21"/>
    </row>
    <row r="78" customFormat="false" ht="13.8" hidden="false" customHeight="false" outlineLevel="0" collapsed="false">
      <c r="A78" s="19" t="n">
        <v>46203</v>
      </c>
      <c r="B78" s="16"/>
      <c r="C78" s="22"/>
      <c r="D78" s="22"/>
      <c r="E78" s="21"/>
    </row>
    <row r="79" customFormat="false" ht="13.8" hidden="false" customHeight="false" outlineLevel="0" collapsed="false">
      <c r="A79" s="19" t="n">
        <v>46203</v>
      </c>
      <c r="B79" s="16"/>
      <c r="C79" s="22"/>
      <c r="D79" s="22"/>
      <c r="E79" s="21"/>
    </row>
    <row r="80" customFormat="false" ht="13.8" hidden="false" customHeight="false" outlineLevel="0" collapsed="false">
      <c r="A80" s="19" t="n">
        <v>46204</v>
      </c>
      <c r="B80" s="16"/>
      <c r="C80" s="22"/>
      <c r="D80" s="22"/>
      <c r="E80" s="21"/>
    </row>
    <row r="81" customFormat="false" ht="13.8" hidden="false" customHeight="false" outlineLevel="0" collapsed="false">
      <c r="A81" s="19" t="n">
        <v>46204</v>
      </c>
      <c r="B81" s="16"/>
      <c r="C81" s="22"/>
      <c r="D81" s="22"/>
      <c r="E81" s="21"/>
    </row>
    <row r="82" customFormat="false" ht="13.8" hidden="false" customHeight="false" outlineLevel="0" collapsed="false">
      <c r="A82" s="19" t="n">
        <v>46204</v>
      </c>
      <c r="B82" s="16"/>
      <c r="C82" s="22"/>
      <c r="D82" s="22"/>
      <c r="E82" s="21"/>
    </row>
    <row r="83" customFormat="false" ht="13.8" hidden="false" customHeight="false" outlineLevel="0" collapsed="false">
      <c r="A83" s="19" t="n">
        <v>46205</v>
      </c>
      <c r="B83" s="16"/>
      <c r="C83" s="22"/>
      <c r="D83" s="22"/>
      <c r="E83" s="21"/>
    </row>
    <row r="84" customFormat="false" ht="13.8" hidden="false" customHeight="false" outlineLevel="0" collapsed="false">
      <c r="A84" s="19" t="n">
        <v>46205</v>
      </c>
      <c r="B84" s="16"/>
      <c r="C84" s="22"/>
      <c r="D84" s="22"/>
      <c r="E84" s="21"/>
    </row>
    <row r="85" customFormat="false" ht="13.8" hidden="false" customHeight="false" outlineLevel="0" collapsed="false">
      <c r="A85" s="19" t="n">
        <v>46206</v>
      </c>
      <c r="B85" s="16"/>
      <c r="C85" s="22"/>
      <c r="D85" s="22"/>
      <c r="E85" s="21"/>
    </row>
    <row r="86" customFormat="false" ht="13.8" hidden="false" customHeight="false" outlineLevel="0" collapsed="false">
      <c r="A86" s="19" t="n">
        <v>46206</v>
      </c>
      <c r="B86" s="16"/>
      <c r="C86" s="22"/>
      <c r="D86" s="22"/>
      <c r="E86" s="21"/>
    </row>
    <row r="87" customFormat="false" ht="13.8" hidden="false" customHeight="false" outlineLevel="0" collapsed="false">
      <c r="A87" s="19" t="n">
        <v>46206</v>
      </c>
      <c r="B87" s="16"/>
      <c r="C87" s="22"/>
      <c r="D87" s="22"/>
      <c r="E87" s="21"/>
    </row>
    <row r="88" customFormat="false" ht="13.8" hidden="false" customHeight="false" outlineLevel="0" collapsed="false">
      <c r="A88" s="19" t="n">
        <v>46206</v>
      </c>
      <c r="B88" s="16"/>
      <c r="C88" s="22"/>
      <c r="D88" s="22"/>
      <c r="E88" s="21"/>
    </row>
    <row r="89" customFormat="false" ht="13.8" hidden="false" customHeight="false" outlineLevel="0" collapsed="false">
      <c r="A89" s="19" t="n">
        <v>46207</v>
      </c>
      <c r="B89" s="16"/>
      <c r="C89" s="22"/>
      <c r="D89" s="22"/>
      <c r="E89" s="21"/>
    </row>
    <row r="90" customFormat="false" ht="13.8" hidden="false" customHeight="false" outlineLevel="0" collapsed="false">
      <c r="A90" s="19" t="n">
        <v>46207</v>
      </c>
      <c r="B90" s="16"/>
      <c r="C90" s="22"/>
      <c r="D90" s="22"/>
      <c r="E90" s="21"/>
    </row>
    <row r="91" customFormat="false" ht="13.8" hidden="false" customHeight="false" outlineLevel="0" collapsed="false">
      <c r="A91" s="19" t="n">
        <v>46207</v>
      </c>
      <c r="B91" s="16"/>
      <c r="C91" s="22"/>
      <c r="D91" s="22"/>
      <c r="E91" s="21"/>
    </row>
    <row r="92" customFormat="false" ht="13.8" hidden="false" customHeight="false" outlineLevel="0" collapsed="false">
      <c r="A92" s="19" t="n">
        <v>46208</v>
      </c>
      <c r="B92" s="16"/>
      <c r="C92" s="22"/>
      <c r="D92" s="22"/>
      <c r="E92" s="21"/>
    </row>
    <row r="93" customFormat="false" ht="13.8" hidden="false" customHeight="false" outlineLevel="0" collapsed="false">
      <c r="A93" s="19" t="n">
        <v>46209</v>
      </c>
      <c r="B93" s="16"/>
      <c r="C93" s="22"/>
      <c r="D93" s="22"/>
      <c r="E93" s="21"/>
    </row>
    <row r="94" customFormat="false" ht="13.8" hidden="false" customHeight="false" outlineLevel="0" collapsed="false">
      <c r="A94" s="19" t="n">
        <v>46209</v>
      </c>
      <c r="B94" s="16"/>
      <c r="C94" s="22"/>
      <c r="D94" s="22"/>
      <c r="E94" s="21"/>
    </row>
    <row r="95" customFormat="false" ht="13.8" hidden="false" customHeight="false" outlineLevel="0" collapsed="false">
      <c r="A95" s="19" t="n">
        <v>46210</v>
      </c>
      <c r="B95" s="16"/>
      <c r="C95" s="22"/>
      <c r="D95" s="22"/>
      <c r="E95" s="21"/>
    </row>
    <row r="96" customFormat="false" ht="13.8" hidden="false" customHeight="false" outlineLevel="0" collapsed="false">
      <c r="A96" s="19" t="n">
        <v>46210</v>
      </c>
      <c r="B96" s="16"/>
      <c r="C96" s="22"/>
      <c r="D96" s="22"/>
      <c r="E96" s="21"/>
    </row>
    <row r="97" customFormat="false" ht="13.8" hidden="false" customHeight="false" outlineLevel="0" collapsed="false">
      <c r="A97" s="19" t="n">
        <v>46210</v>
      </c>
      <c r="B97" s="16"/>
      <c r="C97" s="22"/>
      <c r="D97" s="22"/>
      <c r="E97" s="21"/>
    </row>
    <row r="98" customFormat="false" ht="13.8" hidden="false" customHeight="false" outlineLevel="0" collapsed="false">
      <c r="A98" s="19" t="n">
        <v>46212</v>
      </c>
      <c r="B98" s="16"/>
      <c r="C98" s="22"/>
      <c r="D98" s="22"/>
      <c r="E98" s="21"/>
    </row>
    <row r="99" customFormat="false" ht="13.8" hidden="false" customHeight="false" outlineLevel="0" collapsed="false">
      <c r="A99" s="19" t="n">
        <v>46213</v>
      </c>
      <c r="B99" s="16"/>
      <c r="C99" s="22"/>
      <c r="D99" s="22"/>
      <c r="E99" s="21"/>
    </row>
    <row r="100" customFormat="false" ht="13.8" hidden="false" customHeight="false" outlineLevel="0" collapsed="false">
      <c r="A100" s="19" t="n">
        <v>46214</v>
      </c>
      <c r="B100" s="16"/>
      <c r="C100" s="22"/>
      <c r="D100" s="22"/>
      <c r="E100" s="21"/>
    </row>
    <row r="101" customFormat="false" ht="13.8" hidden="false" customHeight="false" outlineLevel="0" collapsed="false">
      <c r="A101" s="19" t="n">
        <v>46215</v>
      </c>
      <c r="B101" s="16"/>
      <c r="C101" s="22"/>
      <c r="D101" s="22"/>
      <c r="E101" s="21"/>
    </row>
    <row r="102" customFormat="false" ht="13.8" hidden="false" customHeight="false" outlineLevel="0" collapsed="false">
      <c r="A102" s="19" t="n">
        <v>46217</v>
      </c>
      <c r="B102" s="16"/>
      <c r="C102" s="22"/>
      <c r="D102" s="22"/>
      <c r="E102" s="21"/>
    </row>
    <row r="103" customFormat="false" ht="13.8" hidden="false" customHeight="false" outlineLevel="0" collapsed="false">
      <c r="A103" s="19" t="n">
        <v>46218</v>
      </c>
      <c r="B103" s="16"/>
      <c r="C103" s="22"/>
      <c r="D103" s="22"/>
      <c r="E103" s="21"/>
    </row>
    <row r="104" customFormat="false" ht="13.8" hidden="false" customHeight="false" outlineLevel="0" collapsed="false">
      <c r="A104" s="19" t="n">
        <v>46221</v>
      </c>
      <c r="B104" s="16"/>
      <c r="C104" s="22"/>
      <c r="D104" s="22"/>
      <c r="E104" s="21"/>
    </row>
    <row r="105" customFormat="false" ht="13.8" hidden="false" customHeight="false" outlineLevel="0" collapsed="false">
      <c r="A105" s="19" t="n">
        <v>46222</v>
      </c>
      <c r="B105" s="16"/>
      <c r="C105" s="22"/>
      <c r="D105" s="22"/>
      <c r="E105" s="21"/>
    </row>
  </sheetData>
  <mergeCells count="1">
    <mergeCell ref="C1:D1"/>
  </mergeCells>
  <dataValidations count="1">
    <dataValidation allowBlank="true" errorStyle="stop" operator="equal" showDropDown="false" showErrorMessage="true" showInputMessage="false" sqref="B2:B105 E2:E105" type="list">
      <formula1>teams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O2" activePane="bottomRight" state="frozen"/>
      <selection pane="topLeft" activeCell="A1" activeCellId="0" sqref="A1"/>
      <selection pane="topRight" activeCell="O1" activeCellId="0" sqref="O1"/>
      <selection pane="bottomLeft" activeCell="A2" activeCellId="0" sqref="A2"/>
      <selection pane="bottomRight" activeCell="A1" activeCellId="0" sqref="A1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6.46"/>
    <col collapsed="false" customWidth="true" hidden="false" outlineLevel="0" max="17" min="2" style="1" width="20.7"/>
    <col collapsed="false" customWidth="true" hidden="false" outlineLevel="0" max="19" min="18" style="1" width="9.9"/>
    <col collapsed="false" customWidth="true" hidden="false" outlineLevel="0" max="20" min="20" style="1" width="18.44"/>
    <col collapsed="false" customWidth="true" hidden="false" outlineLevel="0" max="21" min="21" style="1" width="18.67"/>
    <col collapsed="false" customWidth="true" hidden="false" outlineLevel="0" max="22" min="22" style="1" width="20.25"/>
    <col collapsed="false" customWidth="true" hidden="false" outlineLevel="0" max="23" min="23" style="1" width="19.35"/>
    <col collapsed="false" customWidth="true" hidden="false" outlineLevel="0" max="25" min="25" style="1" width="39.21"/>
    <col collapsed="false" customWidth="true" hidden="false" outlineLevel="0" max="27" min="27" style="1" width="20.09"/>
  </cols>
  <sheetData>
    <row r="1" customFormat="false" ht="1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20" t="s">
        <v>97</v>
      </c>
      <c r="Y1" s="1" t="s">
        <v>98</v>
      </c>
    </row>
    <row r="2" customFormat="false" ht="16.4" hidden="false" customHeight="false" outlineLevel="0" collapsed="false">
      <c r="A2" s="1" t="s">
        <v>99</v>
      </c>
      <c r="B2" s="21" t="s">
        <v>5</v>
      </c>
      <c r="C2" s="21" t="s">
        <v>15</v>
      </c>
      <c r="D2" s="21" t="s">
        <v>7</v>
      </c>
      <c r="E2" s="21" t="s">
        <v>29</v>
      </c>
      <c r="F2" s="21" t="s">
        <v>21</v>
      </c>
      <c r="G2" s="21" t="s">
        <v>22</v>
      </c>
      <c r="H2" s="21" t="s">
        <v>35</v>
      </c>
      <c r="I2" s="21" t="s">
        <v>36</v>
      </c>
      <c r="J2" s="21" t="s">
        <v>37</v>
      </c>
      <c r="K2" s="21" t="s">
        <v>50</v>
      </c>
      <c r="L2" s="21" t="s">
        <v>51</v>
      </c>
      <c r="M2" s="21" t="s">
        <v>52</v>
      </c>
      <c r="N2" s="21" t="s">
        <v>7</v>
      </c>
      <c r="O2" s="21" t="s">
        <v>37</v>
      </c>
      <c r="P2" s="21" t="s">
        <v>50</v>
      </c>
      <c r="Q2" s="21" t="s">
        <v>36</v>
      </c>
      <c r="R2" s="21" t="s">
        <v>50</v>
      </c>
      <c r="S2" s="21" t="s">
        <v>36</v>
      </c>
      <c r="T2" s="21" t="s">
        <v>36</v>
      </c>
      <c r="U2" s="21" t="s">
        <v>100</v>
      </c>
      <c r="V2" s="21" t="s">
        <v>9</v>
      </c>
      <c r="W2" s="1" t="n">
        <v>250</v>
      </c>
      <c r="X2" s="20" t="s">
        <v>101</v>
      </c>
      <c r="Y2" s="1" t="s">
        <v>102</v>
      </c>
      <c r="AA2" s="21"/>
    </row>
    <row r="3" customFormat="false" ht="15" hidden="false" customHeight="true" outlineLevel="0" collapsed="false">
      <c r="A3" s="1" t="s">
        <v>103</v>
      </c>
      <c r="B3" s="21" t="s">
        <v>5</v>
      </c>
      <c r="C3" s="21" t="s">
        <v>15</v>
      </c>
      <c r="D3" s="21" t="s">
        <v>7</v>
      </c>
      <c r="E3" s="21" t="s">
        <v>23</v>
      </c>
      <c r="F3" s="21" t="s">
        <v>21</v>
      </c>
      <c r="G3" s="21" t="s">
        <v>22</v>
      </c>
      <c r="H3" s="21" t="s">
        <v>35</v>
      </c>
      <c r="I3" s="21" t="s">
        <v>36</v>
      </c>
      <c r="J3" s="21" t="s">
        <v>37</v>
      </c>
      <c r="K3" s="21" t="s">
        <v>50</v>
      </c>
      <c r="L3" s="21" t="s">
        <v>51</v>
      </c>
      <c r="M3" s="21" t="s">
        <v>52</v>
      </c>
      <c r="N3" s="21" t="s">
        <v>36</v>
      </c>
      <c r="O3" s="21" t="s">
        <v>37</v>
      </c>
      <c r="P3" s="21" t="s">
        <v>52</v>
      </c>
      <c r="Q3" s="21" t="s">
        <v>21</v>
      </c>
      <c r="R3" s="21" t="s">
        <v>37</v>
      </c>
      <c r="S3" s="21" t="s">
        <v>52</v>
      </c>
      <c r="T3" s="21" t="s">
        <v>37</v>
      </c>
      <c r="U3" s="21" t="s">
        <v>104</v>
      </c>
      <c r="V3" s="21" t="s">
        <v>23</v>
      </c>
      <c r="W3" s="1" t="n">
        <v>50</v>
      </c>
      <c r="X3" s="20" t="s">
        <v>101</v>
      </c>
      <c r="Y3" s="1" t="s">
        <v>105</v>
      </c>
    </row>
    <row r="4" customFormat="false" ht="15" hidden="false" customHeight="true" outlineLevel="0" collapsed="false">
      <c r="A4" s="1" t="s">
        <v>106</v>
      </c>
      <c r="B4" s="21" t="s">
        <v>5</v>
      </c>
      <c r="C4" s="21" t="s">
        <v>15</v>
      </c>
      <c r="D4" s="21" t="s">
        <v>7</v>
      </c>
      <c r="E4" s="21" t="s">
        <v>29</v>
      </c>
      <c r="F4" s="21" t="s">
        <v>21</v>
      </c>
      <c r="G4" s="21" t="s">
        <v>22</v>
      </c>
      <c r="H4" s="21" t="s">
        <v>35</v>
      </c>
      <c r="I4" s="21" t="s">
        <v>36</v>
      </c>
      <c r="J4" s="21" t="s">
        <v>37</v>
      </c>
      <c r="K4" s="21" t="s">
        <v>50</v>
      </c>
      <c r="L4" s="21" t="s">
        <v>51</v>
      </c>
      <c r="M4" s="21" t="s">
        <v>52</v>
      </c>
      <c r="N4" s="21" t="s">
        <v>50</v>
      </c>
      <c r="O4" s="21" t="s">
        <v>37</v>
      </c>
      <c r="P4" s="21" t="s">
        <v>7</v>
      </c>
      <c r="Q4" s="21" t="s">
        <v>36</v>
      </c>
      <c r="R4" s="21" t="s">
        <v>37</v>
      </c>
      <c r="S4" s="21" t="s">
        <v>50</v>
      </c>
      <c r="T4" s="21" t="s">
        <v>37</v>
      </c>
      <c r="U4" s="21" t="s">
        <v>100</v>
      </c>
      <c r="V4" s="21" t="s">
        <v>13</v>
      </c>
      <c r="W4" s="1" t="n">
        <v>309</v>
      </c>
      <c r="X4" s="20" t="s">
        <v>101</v>
      </c>
      <c r="Y4" s="1" t="s">
        <v>107</v>
      </c>
    </row>
    <row r="5" customFormat="false" ht="15" hidden="false" customHeight="true" outlineLevel="0" collapsed="false">
      <c r="A5" s="1" t="s">
        <v>108</v>
      </c>
      <c r="B5" s="21" t="s">
        <v>5</v>
      </c>
      <c r="C5" s="21" t="s">
        <v>9</v>
      </c>
      <c r="D5" s="21" t="s">
        <v>7</v>
      </c>
      <c r="E5" s="21" t="s">
        <v>29</v>
      </c>
      <c r="F5" s="21" t="s">
        <v>21</v>
      </c>
      <c r="G5" s="21" t="s">
        <v>31</v>
      </c>
      <c r="H5" s="21" t="s">
        <v>35</v>
      </c>
      <c r="I5" s="21" t="s">
        <v>36</v>
      </c>
      <c r="J5" s="21" t="s">
        <v>37</v>
      </c>
      <c r="K5" s="21" t="s">
        <v>50</v>
      </c>
      <c r="L5" s="21" t="s">
        <v>51</v>
      </c>
      <c r="M5" s="21" t="s">
        <v>52</v>
      </c>
      <c r="N5" s="21" t="s">
        <v>7</v>
      </c>
      <c r="O5" s="21" t="s">
        <v>21</v>
      </c>
      <c r="P5" s="21" t="s">
        <v>36</v>
      </c>
      <c r="Q5" s="21" t="s">
        <v>50</v>
      </c>
      <c r="R5" s="21" t="s">
        <v>21</v>
      </c>
      <c r="S5" s="21" t="s">
        <v>50</v>
      </c>
      <c r="T5" s="21" t="s">
        <v>50</v>
      </c>
      <c r="U5" s="21" t="s">
        <v>109</v>
      </c>
      <c r="V5" s="21" t="s">
        <v>8</v>
      </c>
      <c r="W5" s="1" t="n">
        <v>205</v>
      </c>
      <c r="X5" s="20" t="s">
        <v>101</v>
      </c>
      <c r="Y5" s="1" t="s">
        <v>110</v>
      </c>
    </row>
    <row r="6" customFormat="false" ht="15" hidden="false" customHeight="true" outlineLevel="0" collapsed="false">
      <c r="A6" s="1" t="s">
        <v>111</v>
      </c>
      <c r="B6" s="21" t="s">
        <v>5</v>
      </c>
      <c r="C6" s="21" t="s">
        <v>6</v>
      </c>
      <c r="D6" s="21" t="s">
        <v>7</v>
      </c>
      <c r="E6" s="21" t="s">
        <v>20</v>
      </c>
      <c r="F6" s="21" t="s">
        <v>27</v>
      </c>
      <c r="G6" s="21" t="s">
        <v>25</v>
      </c>
      <c r="H6" s="21" t="s">
        <v>35</v>
      </c>
      <c r="I6" s="21" t="s">
        <v>36</v>
      </c>
      <c r="J6" s="21" t="s">
        <v>37</v>
      </c>
      <c r="K6" s="21" t="s">
        <v>50</v>
      </c>
      <c r="L6" s="21" t="s">
        <v>51</v>
      </c>
      <c r="M6" s="21" t="s">
        <v>52</v>
      </c>
      <c r="N6" s="21" t="s">
        <v>7</v>
      </c>
      <c r="O6" s="21" t="s">
        <v>20</v>
      </c>
      <c r="P6" s="21" t="s">
        <v>50</v>
      </c>
      <c r="Q6" s="21" t="s">
        <v>52</v>
      </c>
      <c r="R6" s="21" t="s">
        <v>50</v>
      </c>
      <c r="S6" s="21" t="s">
        <v>20</v>
      </c>
      <c r="T6" s="21" t="s">
        <v>50</v>
      </c>
      <c r="U6" s="21" t="s">
        <v>112</v>
      </c>
      <c r="V6" s="21" t="s">
        <v>13</v>
      </c>
      <c r="W6" s="1" t="n">
        <v>99</v>
      </c>
      <c r="X6" s="20" t="s">
        <v>113</v>
      </c>
    </row>
    <row r="7" customFormat="false" ht="15" hidden="false" customHeight="true" outlineLevel="0" collapsed="false">
      <c r="A7" s="1" t="s">
        <v>114</v>
      </c>
      <c r="B7" s="21" t="s">
        <v>5</v>
      </c>
      <c r="C7" s="21" t="s">
        <v>15</v>
      </c>
      <c r="D7" s="21" t="s">
        <v>7</v>
      </c>
      <c r="E7" s="21" t="s">
        <v>20</v>
      </c>
      <c r="F7" s="21" t="s">
        <v>21</v>
      </c>
      <c r="G7" s="21" t="s">
        <v>22</v>
      </c>
      <c r="H7" s="21" t="s">
        <v>35</v>
      </c>
      <c r="I7" s="21" t="s">
        <v>36</v>
      </c>
      <c r="J7" s="21" t="s">
        <v>37</v>
      </c>
      <c r="K7" s="21" t="s">
        <v>50</v>
      </c>
      <c r="L7" s="21" t="s">
        <v>51</v>
      </c>
      <c r="M7" s="21" t="s">
        <v>52</v>
      </c>
      <c r="N7" s="21" t="s">
        <v>52</v>
      </c>
      <c r="O7" s="21" t="s">
        <v>21</v>
      </c>
      <c r="P7" s="21" t="s">
        <v>36</v>
      </c>
      <c r="Q7" s="21" t="s">
        <v>37</v>
      </c>
      <c r="R7" s="21" t="s">
        <v>52</v>
      </c>
      <c r="S7" s="21" t="s">
        <v>36</v>
      </c>
      <c r="T7" s="21" t="s">
        <v>52</v>
      </c>
      <c r="U7" s="21" t="s">
        <v>115</v>
      </c>
      <c r="V7" s="21" t="s">
        <v>23</v>
      </c>
      <c r="W7" s="1" t="n">
        <v>235</v>
      </c>
      <c r="X7" s="20" t="s">
        <v>101</v>
      </c>
      <c r="Y7" s="1" t="s">
        <v>116</v>
      </c>
    </row>
    <row r="8" customFormat="false" ht="15" hidden="false" customHeight="true" outlineLevel="0" collapsed="false">
      <c r="A8" s="1" t="s">
        <v>117</v>
      </c>
      <c r="B8" s="21" t="s">
        <v>5</v>
      </c>
      <c r="C8" s="21" t="s">
        <v>15</v>
      </c>
      <c r="D8" s="21" t="s">
        <v>7</v>
      </c>
      <c r="E8" s="21" t="s">
        <v>23</v>
      </c>
      <c r="F8" s="21" t="s">
        <v>21</v>
      </c>
      <c r="G8" s="21" t="s">
        <v>22</v>
      </c>
      <c r="H8" s="21" t="s">
        <v>35</v>
      </c>
      <c r="I8" s="21" t="s">
        <v>36</v>
      </c>
      <c r="J8" s="21" t="s">
        <v>37</v>
      </c>
      <c r="K8" s="21" t="s">
        <v>50</v>
      </c>
      <c r="L8" s="21" t="s">
        <v>51</v>
      </c>
      <c r="M8" s="21" t="s">
        <v>52</v>
      </c>
      <c r="N8" s="21" t="s">
        <v>7</v>
      </c>
      <c r="O8" s="21" t="s">
        <v>21</v>
      </c>
      <c r="P8" s="21" t="s">
        <v>36</v>
      </c>
      <c r="Q8" s="21" t="s">
        <v>37</v>
      </c>
      <c r="R8" s="21" t="s">
        <v>36</v>
      </c>
      <c r="S8" s="21" t="s">
        <v>7</v>
      </c>
      <c r="T8" s="21" t="s">
        <v>7</v>
      </c>
      <c r="U8" s="21" t="s">
        <v>100</v>
      </c>
      <c r="V8" s="21" t="s">
        <v>8</v>
      </c>
      <c r="W8" s="1" t="n">
        <v>173</v>
      </c>
      <c r="X8" s="20" t="s">
        <v>101</v>
      </c>
      <c r="Y8" s="1" t="s">
        <v>118</v>
      </c>
    </row>
    <row r="9" customFormat="false" ht="15" hidden="false" customHeight="true" outlineLevel="0" collapsed="false">
      <c r="A9" s="1" t="s">
        <v>119</v>
      </c>
      <c r="B9" s="21" t="s">
        <v>5</v>
      </c>
      <c r="C9" s="21" t="s">
        <v>15</v>
      </c>
      <c r="D9" s="21" t="s">
        <v>7</v>
      </c>
      <c r="E9" s="21" t="s">
        <v>20</v>
      </c>
      <c r="F9" s="21" t="s">
        <v>21</v>
      </c>
      <c r="G9" s="21" t="s">
        <v>22</v>
      </c>
      <c r="H9" s="21" t="s">
        <v>35</v>
      </c>
      <c r="I9" s="21" t="s">
        <v>36</v>
      </c>
      <c r="J9" s="21" t="s">
        <v>37</v>
      </c>
      <c r="K9" s="21" t="s">
        <v>50</v>
      </c>
      <c r="L9" s="21" t="s">
        <v>51</v>
      </c>
      <c r="M9" s="21" t="s">
        <v>52</v>
      </c>
      <c r="N9" s="21" t="s">
        <v>36</v>
      </c>
      <c r="O9" s="21" t="s">
        <v>37</v>
      </c>
      <c r="P9" s="21" t="s">
        <v>50</v>
      </c>
      <c r="Q9" s="21" t="s">
        <v>52</v>
      </c>
      <c r="R9" s="21" t="s">
        <v>36</v>
      </c>
      <c r="S9" s="21" t="s">
        <v>37</v>
      </c>
      <c r="T9" s="21" t="s">
        <v>36</v>
      </c>
      <c r="U9" s="21" t="s">
        <v>100</v>
      </c>
      <c r="V9" s="21" t="s">
        <v>8</v>
      </c>
      <c r="W9" s="1" t="n">
        <v>302</v>
      </c>
      <c r="X9" s="20" t="s">
        <v>101</v>
      </c>
      <c r="Y9" s="1" t="s">
        <v>120</v>
      </c>
    </row>
    <row r="10" customFormat="false" ht="15" hidden="false" customHeight="true" outlineLevel="0" collapsed="false">
      <c r="A10" s="1" t="s">
        <v>121</v>
      </c>
      <c r="B10" s="21" t="s">
        <v>11</v>
      </c>
      <c r="C10" s="21" t="s">
        <v>15</v>
      </c>
      <c r="D10" s="21" t="s">
        <v>7</v>
      </c>
      <c r="E10" s="21" t="s">
        <v>20</v>
      </c>
      <c r="F10" s="21" t="s">
        <v>21</v>
      </c>
      <c r="G10" s="21" t="s">
        <v>22</v>
      </c>
      <c r="H10" s="21" t="s">
        <v>35</v>
      </c>
      <c r="I10" s="21" t="s">
        <v>36</v>
      </c>
      <c r="J10" s="21" t="s">
        <v>37</v>
      </c>
      <c r="K10" s="21" t="s">
        <v>50</v>
      </c>
      <c r="L10" s="21" t="s">
        <v>51</v>
      </c>
      <c r="M10" s="21" t="s">
        <v>52</v>
      </c>
      <c r="N10" s="21" t="s">
        <v>7</v>
      </c>
      <c r="O10" s="21" t="s">
        <v>21</v>
      </c>
      <c r="P10" s="21" t="s">
        <v>50</v>
      </c>
      <c r="Q10" s="21" t="s">
        <v>36</v>
      </c>
      <c r="R10" s="21" t="s">
        <v>7</v>
      </c>
      <c r="S10" s="21" t="s">
        <v>36</v>
      </c>
      <c r="T10" s="21" t="s">
        <v>36</v>
      </c>
      <c r="U10" s="21" t="s">
        <v>122</v>
      </c>
      <c r="V10" s="21" t="s">
        <v>5</v>
      </c>
      <c r="W10" s="1" t="n">
        <v>235</v>
      </c>
      <c r="X10" s="20" t="s">
        <v>101</v>
      </c>
      <c r="Y10" s="1" t="s">
        <v>123</v>
      </c>
    </row>
    <row r="11" customFormat="false" ht="15" hidden="false" customHeight="true" outlineLevel="0" collapsed="false">
      <c r="A11" s="1" t="s">
        <v>124</v>
      </c>
      <c r="B11" s="21" t="s">
        <v>5</v>
      </c>
      <c r="C11" s="21" t="s">
        <v>15</v>
      </c>
      <c r="D11" s="21" t="s">
        <v>7</v>
      </c>
      <c r="E11" s="21" t="s">
        <v>29</v>
      </c>
      <c r="F11" s="21" t="s">
        <v>21</v>
      </c>
      <c r="G11" s="21" t="s">
        <v>22</v>
      </c>
      <c r="H11" s="21" t="s">
        <v>35</v>
      </c>
      <c r="I11" s="21" t="s">
        <v>36</v>
      </c>
      <c r="J11" s="21" t="s">
        <v>37</v>
      </c>
      <c r="K11" s="21" t="s">
        <v>50</v>
      </c>
      <c r="L11" s="21" t="s">
        <v>51</v>
      </c>
      <c r="M11" s="21" t="s">
        <v>52</v>
      </c>
      <c r="N11" s="21" t="s">
        <v>7</v>
      </c>
      <c r="O11" s="21" t="s">
        <v>36</v>
      </c>
      <c r="P11" s="21" t="s">
        <v>50</v>
      </c>
      <c r="Q11" s="21" t="s">
        <v>5</v>
      </c>
      <c r="R11" s="21" t="s">
        <v>7</v>
      </c>
      <c r="S11" s="21" t="s">
        <v>50</v>
      </c>
      <c r="T11" s="21" t="s">
        <v>50</v>
      </c>
      <c r="U11" s="21" t="s">
        <v>125</v>
      </c>
      <c r="V11" s="21" t="s">
        <v>54</v>
      </c>
      <c r="W11" s="1" t="n">
        <v>285</v>
      </c>
      <c r="X11" s="20" t="s">
        <v>101</v>
      </c>
      <c r="Y11" s="1" t="s">
        <v>126</v>
      </c>
    </row>
    <row r="12" customFormat="false" ht="15" hidden="false" customHeight="true" outlineLevel="0" collapsed="false">
      <c r="A12" s="1" t="s">
        <v>127</v>
      </c>
      <c r="B12" s="21" t="s">
        <v>5</v>
      </c>
      <c r="C12" s="21" t="s">
        <v>15</v>
      </c>
      <c r="D12" s="21" t="s">
        <v>7</v>
      </c>
      <c r="E12" s="21" t="s">
        <v>20</v>
      </c>
      <c r="F12" s="21" t="s">
        <v>21</v>
      </c>
      <c r="G12" s="21" t="s">
        <v>25</v>
      </c>
      <c r="H12" s="21" t="s">
        <v>35</v>
      </c>
      <c r="I12" s="21" t="s">
        <v>36</v>
      </c>
      <c r="J12" s="21" t="s">
        <v>37</v>
      </c>
      <c r="K12" s="21" t="s">
        <v>50</v>
      </c>
      <c r="L12" s="21" t="s">
        <v>51</v>
      </c>
      <c r="M12" s="21" t="s">
        <v>52</v>
      </c>
      <c r="N12" s="21" t="s">
        <v>37</v>
      </c>
      <c r="O12" s="21" t="s">
        <v>21</v>
      </c>
      <c r="P12" s="21" t="s">
        <v>50</v>
      </c>
      <c r="Q12" s="21" t="s">
        <v>7</v>
      </c>
      <c r="R12" s="21" t="s">
        <v>37</v>
      </c>
      <c r="S12" s="21" t="s">
        <v>7</v>
      </c>
      <c r="T12" s="21" t="s">
        <v>7</v>
      </c>
      <c r="U12" s="21" t="s">
        <v>128</v>
      </c>
      <c r="V12" s="21" t="s">
        <v>14</v>
      </c>
      <c r="W12" s="1" t="n">
        <v>350</v>
      </c>
      <c r="X12" s="20" t="s">
        <v>101</v>
      </c>
      <c r="Y12" s="1" t="s">
        <v>129</v>
      </c>
    </row>
    <row r="13" customFormat="false" ht="15" hidden="false" customHeight="true" outlineLevel="0" collapsed="false">
      <c r="A13" s="1" t="s">
        <v>130</v>
      </c>
      <c r="B13" s="21" t="s">
        <v>11</v>
      </c>
      <c r="C13" s="21" t="s">
        <v>15</v>
      </c>
      <c r="D13" s="21" t="s">
        <v>7</v>
      </c>
      <c r="E13" s="21" t="s">
        <v>20</v>
      </c>
      <c r="F13" s="21" t="s">
        <v>21</v>
      </c>
      <c r="G13" s="21" t="s">
        <v>22</v>
      </c>
      <c r="H13" s="21" t="s">
        <v>35</v>
      </c>
      <c r="I13" s="21" t="s">
        <v>36</v>
      </c>
      <c r="J13" s="21" t="s">
        <v>37</v>
      </c>
      <c r="K13" s="21" t="s">
        <v>50</v>
      </c>
      <c r="L13" s="21" t="s">
        <v>51</v>
      </c>
      <c r="M13" s="21" t="s">
        <v>52</v>
      </c>
      <c r="N13" s="21" t="s">
        <v>50</v>
      </c>
      <c r="O13" s="21" t="s">
        <v>36</v>
      </c>
      <c r="P13" s="21" t="s">
        <v>37</v>
      </c>
      <c r="Q13" s="21" t="s">
        <v>52</v>
      </c>
      <c r="R13" s="21" t="s">
        <v>52</v>
      </c>
      <c r="S13" s="21" t="s">
        <v>50</v>
      </c>
      <c r="T13" s="21" t="s">
        <v>52</v>
      </c>
      <c r="U13" s="21" t="s">
        <v>104</v>
      </c>
      <c r="V13" s="21" t="s">
        <v>50</v>
      </c>
      <c r="W13" s="1" t="n">
        <v>180</v>
      </c>
      <c r="X13" s="20" t="s">
        <v>101</v>
      </c>
      <c r="Y13" s="1" t="s">
        <v>131</v>
      </c>
    </row>
    <row r="14" customFormat="false" ht="15" hidden="false" customHeight="true" outlineLevel="0" collapsed="false">
      <c r="A14" s="1" t="s">
        <v>132</v>
      </c>
      <c r="B14" s="21" t="s">
        <v>5</v>
      </c>
      <c r="C14" s="21" t="s">
        <v>15</v>
      </c>
      <c r="D14" s="21" t="s">
        <v>7</v>
      </c>
      <c r="E14" s="21" t="s">
        <v>29</v>
      </c>
      <c r="F14" s="21" t="s">
        <v>27</v>
      </c>
      <c r="G14" s="21" t="s">
        <v>25</v>
      </c>
      <c r="H14" s="21" t="s">
        <v>35</v>
      </c>
      <c r="I14" s="21" t="s">
        <v>36</v>
      </c>
      <c r="J14" s="21" t="s">
        <v>37</v>
      </c>
      <c r="K14" s="21" t="s">
        <v>50</v>
      </c>
      <c r="L14" s="21" t="s">
        <v>60</v>
      </c>
      <c r="M14" s="21" t="s">
        <v>52</v>
      </c>
      <c r="N14" s="21" t="s">
        <v>7</v>
      </c>
      <c r="O14" s="21" t="s">
        <v>27</v>
      </c>
      <c r="P14" s="21" t="s">
        <v>51</v>
      </c>
      <c r="Q14" s="21" t="s">
        <v>7</v>
      </c>
      <c r="R14" s="21" t="s">
        <v>51</v>
      </c>
      <c r="S14" s="21" t="s">
        <v>7</v>
      </c>
      <c r="T14" s="21" t="s">
        <v>7</v>
      </c>
      <c r="U14" s="21" t="s">
        <v>122</v>
      </c>
      <c r="V14" s="21" t="s">
        <v>24</v>
      </c>
      <c r="W14" s="1" t="n">
        <v>220</v>
      </c>
      <c r="X14" s="20" t="s">
        <v>101</v>
      </c>
      <c r="Y14" s="1" t="s">
        <v>133</v>
      </c>
    </row>
    <row r="15" customFormat="false" ht="15" hidden="false" customHeight="true" outlineLevel="0" collapsed="false">
      <c r="A15" s="1" t="s">
        <v>134</v>
      </c>
      <c r="B15" s="21" t="s">
        <v>5</v>
      </c>
      <c r="C15" s="21" t="s">
        <v>15</v>
      </c>
      <c r="D15" s="21" t="s">
        <v>7</v>
      </c>
      <c r="E15" s="21" t="s">
        <v>29</v>
      </c>
      <c r="F15" s="21" t="s">
        <v>21</v>
      </c>
      <c r="G15" s="21" t="s">
        <v>25</v>
      </c>
      <c r="H15" s="21" t="s">
        <v>35</v>
      </c>
      <c r="I15" s="21" t="s">
        <v>36</v>
      </c>
      <c r="J15" s="21" t="s">
        <v>37</v>
      </c>
      <c r="K15" s="21" t="s">
        <v>50</v>
      </c>
      <c r="L15" s="21" t="s">
        <v>51</v>
      </c>
      <c r="M15" s="21" t="s">
        <v>52</v>
      </c>
      <c r="N15" s="21" t="s">
        <v>7</v>
      </c>
      <c r="O15" s="21" t="s">
        <v>51</v>
      </c>
      <c r="P15" s="21" t="s">
        <v>37</v>
      </c>
      <c r="Q15" s="21" t="s">
        <v>36</v>
      </c>
      <c r="R15" s="21" t="s">
        <v>36</v>
      </c>
      <c r="S15" s="21" t="s">
        <v>7</v>
      </c>
      <c r="T15" s="21" t="s">
        <v>7</v>
      </c>
      <c r="U15" s="21" t="s">
        <v>104</v>
      </c>
      <c r="V15" s="21" t="s">
        <v>8</v>
      </c>
      <c r="W15" s="1" t="n">
        <v>160</v>
      </c>
      <c r="X15" s="20" t="s">
        <v>101</v>
      </c>
      <c r="Y15" s="1" t="s">
        <v>135</v>
      </c>
    </row>
    <row r="16" customFormat="false" ht="15" hidden="false" customHeight="true" outlineLevel="0" collapsed="false">
      <c r="A16" s="1" t="s">
        <v>136</v>
      </c>
      <c r="B16" s="21" t="s">
        <v>11</v>
      </c>
      <c r="C16" s="21" t="s">
        <v>15</v>
      </c>
      <c r="D16" s="21" t="s">
        <v>7</v>
      </c>
      <c r="E16" s="21" t="s">
        <v>20</v>
      </c>
      <c r="F16" s="21" t="s">
        <v>21</v>
      </c>
      <c r="G16" s="21" t="s">
        <v>25</v>
      </c>
      <c r="H16" s="21" t="s">
        <v>38</v>
      </c>
      <c r="I16" s="21" t="s">
        <v>36</v>
      </c>
      <c r="J16" s="21" t="s">
        <v>37</v>
      </c>
      <c r="K16" s="21" t="s">
        <v>50</v>
      </c>
      <c r="L16" s="21" t="s">
        <v>51</v>
      </c>
      <c r="M16" s="21" t="s">
        <v>52</v>
      </c>
      <c r="N16" s="21" t="s">
        <v>37</v>
      </c>
      <c r="O16" s="21" t="s">
        <v>36</v>
      </c>
      <c r="P16" s="21" t="s">
        <v>52</v>
      </c>
      <c r="Q16" s="21" t="s">
        <v>50</v>
      </c>
      <c r="R16" s="21" t="s">
        <v>52</v>
      </c>
      <c r="S16" s="21" t="s">
        <v>37</v>
      </c>
      <c r="T16" s="21" t="s">
        <v>52</v>
      </c>
      <c r="U16" s="21" t="s">
        <v>104</v>
      </c>
      <c r="V16" s="21" t="s">
        <v>13</v>
      </c>
      <c r="W16" s="1" t="n">
        <v>281</v>
      </c>
      <c r="X16" s="20" t="s">
        <v>101</v>
      </c>
      <c r="Y16" s="1" t="s">
        <v>137</v>
      </c>
    </row>
    <row r="17" customFormat="false" ht="15" hidden="false" customHeight="true" outlineLevel="0" collapsed="false">
      <c r="A17" s="1" t="s">
        <v>138</v>
      </c>
      <c r="B17" s="21" t="s">
        <v>5</v>
      </c>
      <c r="C17" s="21" t="s">
        <v>15</v>
      </c>
      <c r="D17" s="21" t="s">
        <v>7</v>
      </c>
      <c r="E17" s="21" t="s">
        <v>23</v>
      </c>
      <c r="F17" s="21" t="s">
        <v>30</v>
      </c>
      <c r="G17" s="21" t="s">
        <v>22</v>
      </c>
      <c r="H17" s="21" t="s">
        <v>35</v>
      </c>
      <c r="I17" s="21" t="s">
        <v>36</v>
      </c>
      <c r="J17" s="21" t="s">
        <v>37</v>
      </c>
      <c r="K17" s="21" t="s">
        <v>50</v>
      </c>
      <c r="L17" s="21" t="s">
        <v>51</v>
      </c>
      <c r="M17" s="21" t="s">
        <v>52</v>
      </c>
      <c r="N17" s="21" t="s">
        <v>51</v>
      </c>
      <c r="O17" s="21" t="s">
        <v>50</v>
      </c>
      <c r="P17" s="21" t="s">
        <v>37</v>
      </c>
      <c r="Q17" s="21" t="s">
        <v>36</v>
      </c>
      <c r="R17" s="21" t="s">
        <v>36</v>
      </c>
      <c r="S17" s="21" t="s">
        <v>50</v>
      </c>
      <c r="T17" s="21" t="s">
        <v>36</v>
      </c>
      <c r="U17" s="21" t="s">
        <v>100</v>
      </c>
      <c r="V17" s="21" t="s">
        <v>8</v>
      </c>
      <c r="W17" s="1" t="n">
        <v>204</v>
      </c>
      <c r="X17" s="20" t="s">
        <v>101</v>
      </c>
      <c r="Y17" s="1" t="s">
        <v>139</v>
      </c>
    </row>
    <row r="18" customFormat="false" ht="15" hidden="false" customHeight="true" outlineLevel="0" collapsed="false">
      <c r="A18" s="1" t="s">
        <v>140</v>
      </c>
      <c r="B18" s="21" t="s">
        <v>5</v>
      </c>
      <c r="C18" s="21" t="s">
        <v>15</v>
      </c>
      <c r="D18" s="21" t="s">
        <v>7</v>
      </c>
      <c r="E18" s="21" t="s">
        <v>20</v>
      </c>
      <c r="F18" s="21" t="s">
        <v>21</v>
      </c>
      <c r="G18" s="21" t="s">
        <v>22</v>
      </c>
      <c r="H18" s="21" t="s">
        <v>35</v>
      </c>
      <c r="I18" s="21" t="s">
        <v>36</v>
      </c>
      <c r="J18" s="21" t="s">
        <v>37</v>
      </c>
      <c r="K18" s="21" t="s">
        <v>50</v>
      </c>
      <c r="L18" s="21" t="s">
        <v>51</v>
      </c>
      <c r="M18" s="21" t="s">
        <v>52</v>
      </c>
      <c r="N18" s="21" t="s">
        <v>36</v>
      </c>
      <c r="O18" s="21" t="s">
        <v>37</v>
      </c>
      <c r="P18" s="21" t="s">
        <v>50</v>
      </c>
      <c r="Q18" s="21" t="s">
        <v>52</v>
      </c>
      <c r="R18" s="21" t="s">
        <v>36</v>
      </c>
      <c r="S18" s="21" t="s">
        <v>37</v>
      </c>
      <c r="T18" s="21" t="s">
        <v>37</v>
      </c>
      <c r="U18" s="21" t="s">
        <v>112</v>
      </c>
      <c r="V18" s="21" t="s">
        <v>20</v>
      </c>
      <c r="W18" s="1" t="n">
        <v>238</v>
      </c>
      <c r="X18" s="20" t="s">
        <v>101</v>
      </c>
      <c r="Y18" s="1" t="s">
        <v>141</v>
      </c>
    </row>
    <row r="19" customFormat="false" ht="15" hidden="false" customHeight="true" outlineLevel="0" collapsed="false">
      <c r="A19" s="1" t="s">
        <v>142</v>
      </c>
      <c r="B19" s="21" t="s">
        <v>8</v>
      </c>
      <c r="C19" s="21" t="s">
        <v>15</v>
      </c>
      <c r="D19" s="21" t="s">
        <v>7</v>
      </c>
      <c r="E19" s="21" t="s">
        <v>29</v>
      </c>
      <c r="F19" s="21" t="s">
        <v>21</v>
      </c>
      <c r="G19" s="21" t="s">
        <v>25</v>
      </c>
      <c r="H19" s="21" t="s">
        <v>35</v>
      </c>
      <c r="I19" s="21" t="s">
        <v>36</v>
      </c>
      <c r="J19" s="21" t="s">
        <v>37</v>
      </c>
      <c r="K19" s="21" t="s">
        <v>50</v>
      </c>
      <c r="L19" s="21" t="s">
        <v>51</v>
      </c>
      <c r="M19" s="21" t="s">
        <v>52</v>
      </c>
      <c r="N19" s="21" t="s">
        <v>7</v>
      </c>
      <c r="O19" s="21" t="s">
        <v>21</v>
      </c>
      <c r="P19" s="21" t="s">
        <v>36</v>
      </c>
      <c r="Q19" s="21" t="s">
        <v>37</v>
      </c>
      <c r="R19" s="21" t="s">
        <v>21</v>
      </c>
      <c r="S19" s="21" t="s">
        <v>37</v>
      </c>
      <c r="T19" s="21" t="s">
        <v>21</v>
      </c>
      <c r="U19" s="21" t="s">
        <v>104</v>
      </c>
      <c r="V19" s="21" t="s">
        <v>45</v>
      </c>
      <c r="W19" s="1" t="n">
        <v>218</v>
      </c>
      <c r="X19" s="20" t="s">
        <v>101</v>
      </c>
      <c r="Y19" s="1" t="s">
        <v>143</v>
      </c>
    </row>
    <row r="20" customFormat="false" ht="15" hidden="false" customHeight="true" outlineLevel="0" collapsed="false">
      <c r="A20" s="1" t="s">
        <v>144</v>
      </c>
      <c r="B20" s="21" t="s">
        <v>5</v>
      </c>
      <c r="C20" s="21" t="s">
        <v>15</v>
      </c>
      <c r="D20" s="21" t="s">
        <v>7</v>
      </c>
      <c r="E20" s="21" t="s">
        <v>20</v>
      </c>
      <c r="F20" s="21" t="s">
        <v>21</v>
      </c>
      <c r="G20" s="21" t="s">
        <v>22</v>
      </c>
      <c r="H20" s="21" t="s">
        <v>35</v>
      </c>
      <c r="I20" s="21" t="s">
        <v>36</v>
      </c>
      <c r="J20" s="21" t="s">
        <v>37</v>
      </c>
      <c r="K20" s="21" t="s">
        <v>50</v>
      </c>
      <c r="L20" s="21" t="s">
        <v>51</v>
      </c>
      <c r="M20" s="21" t="s">
        <v>52</v>
      </c>
      <c r="N20" s="21" t="s">
        <v>7</v>
      </c>
      <c r="O20" s="21" t="s">
        <v>37</v>
      </c>
      <c r="P20" s="21" t="s">
        <v>36</v>
      </c>
      <c r="Q20" s="21" t="s">
        <v>52</v>
      </c>
      <c r="R20" s="21" t="s">
        <v>7</v>
      </c>
      <c r="S20" s="21" t="s">
        <v>36</v>
      </c>
      <c r="T20" s="21" t="s">
        <v>7</v>
      </c>
      <c r="U20" s="21" t="s">
        <v>104</v>
      </c>
      <c r="V20" s="21" t="s">
        <v>5</v>
      </c>
      <c r="W20" s="1" t="n">
        <v>100</v>
      </c>
      <c r="X20" s="20" t="s">
        <v>101</v>
      </c>
      <c r="Y20" s="1" t="s">
        <v>145</v>
      </c>
    </row>
    <row r="21" customFormat="false" ht="15" hidden="false" customHeight="true" outlineLevel="0" collapsed="false">
      <c r="A21" s="1" t="s">
        <v>146</v>
      </c>
      <c r="B21" s="21" t="s">
        <v>5</v>
      </c>
      <c r="C21" s="21" t="s">
        <v>15</v>
      </c>
      <c r="D21" s="21" t="s">
        <v>7</v>
      </c>
      <c r="E21" s="21" t="s">
        <v>29</v>
      </c>
      <c r="F21" s="21" t="s">
        <v>21</v>
      </c>
      <c r="G21" s="21" t="s">
        <v>22</v>
      </c>
      <c r="H21" s="21" t="s">
        <v>35</v>
      </c>
      <c r="I21" s="21" t="s">
        <v>36</v>
      </c>
      <c r="J21" s="21" t="s">
        <v>37</v>
      </c>
      <c r="K21" s="21" t="s">
        <v>50</v>
      </c>
      <c r="L21" s="21" t="s">
        <v>51</v>
      </c>
      <c r="M21" s="21" t="s">
        <v>52</v>
      </c>
      <c r="N21" s="21" t="s">
        <v>21</v>
      </c>
      <c r="O21" s="21" t="s">
        <v>36</v>
      </c>
      <c r="P21" s="21" t="s">
        <v>7</v>
      </c>
      <c r="Q21" s="21" t="s">
        <v>51</v>
      </c>
      <c r="R21" s="21" t="s">
        <v>21</v>
      </c>
      <c r="S21" s="21" t="s">
        <v>7</v>
      </c>
      <c r="T21" s="21" t="s">
        <v>7</v>
      </c>
      <c r="U21" s="21" t="s">
        <v>100</v>
      </c>
      <c r="V21" s="21" t="s">
        <v>8</v>
      </c>
      <c r="W21" s="1" t="n">
        <v>240</v>
      </c>
      <c r="X21" s="20" t="s">
        <v>101</v>
      </c>
      <c r="Y21" s="1" t="s">
        <v>147</v>
      </c>
    </row>
    <row r="22" customFormat="false" ht="15" hidden="false" customHeight="true" outlineLevel="0" collapsed="false">
      <c r="A22" s="1" t="s">
        <v>148</v>
      </c>
      <c r="B22" s="21" t="s">
        <v>5</v>
      </c>
      <c r="C22" s="21" t="s">
        <v>15</v>
      </c>
      <c r="D22" s="21" t="s">
        <v>7</v>
      </c>
      <c r="E22" s="21" t="s">
        <v>23</v>
      </c>
      <c r="F22" s="21" t="s">
        <v>21</v>
      </c>
      <c r="G22" s="21" t="s">
        <v>22</v>
      </c>
      <c r="H22" s="21" t="s">
        <v>35</v>
      </c>
      <c r="I22" s="21" t="s">
        <v>36</v>
      </c>
      <c r="J22" s="21" t="s">
        <v>37</v>
      </c>
      <c r="K22" s="21" t="s">
        <v>50</v>
      </c>
      <c r="L22" s="21" t="s">
        <v>51</v>
      </c>
      <c r="M22" s="21" t="s">
        <v>52</v>
      </c>
      <c r="N22" s="21" t="s">
        <v>37</v>
      </c>
      <c r="O22" s="21" t="s">
        <v>36</v>
      </c>
      <c r="P22" s="21" t="s">
        <v>7</v>
      </c>
      <c r="Q22" s="21" t="s">
        <v>52</v>
      </c>
      <c r="R22" s="21" t="s">
        <v>7</v>
      </c>
      <c r="S22" s="21" t="s">
        <v>36</v>
      </c>
      <c r="T22" s="21" t="s">
        <v>7</v>
      </c>
      <c r="U22" s="21" t="s">
        <v>104</v>
      </c>
      <c r="V22" s="21" t="s">
        <v>16</v>
      </c>
      <c r="W22" s="1" t="n">
        <v>211</v>
      </c>
      <c r="X22" s="20" t="s">
        <v>101</v>
      </c>
      <c r="Y22" s="1" t="s">
        <v>149</v>
      </c>
    </row>
    <row r="23" customFormat="false" ht="15" hidden="false" customHeight="true" outlineLevel="0" collapsed="false">
      <c r="A23" s="1" t="s">
        <v>150</v>
      </c>
      <c r="B23" s="20" t="s">
        <v>151</v>
      </c>
      <c r="C23" s="20" t="s">
        <v>151</v>
      </c>
      <c r="D23" s="20" t="s">
        <v>151</v>
      </c>
      <c r="E23" s="20" t="s">
        <v>151</v>
      </c>
      <c r="F23" s="20" t="s">
        <v>151</v>
      </c>
      <c r="G23" s="20" t="s">
        <v>151</v>
      </c>
      <c r="H23" s="20" t="s">
        <v>151</v>
      </c>
      <c r="I23" s="20" t="s">
        <v>151</v>
      </c>
      <c r="J23" s="20" t="s">
        <v>151</v>
      </c>
      <c r="K23" s="20" t="s">
        <v>151</v>
      </c>
      <c r="L23" s="20" t="s">
        <v>151</v>
      </c>
      <c r="M23" s="20" t="s">
        <v>151</v>
      </c>
      <c r="N23" s="20" t="s">
        <v>151</v>
      </c>
      <c r="O23" s="20" t="s">
        <v>151</v>
      </c>
      <c r="P23" s="20" t="s">
        <v>151</v>
      </c>
      <c r="Q23" s="20" t="s">
        <v>151</v>
      </c>
      <c r="R23" s="20" t="s">
        <v>151</v>
      </c>
      <c r="S23" s="20" t="s">
        <v>151</v>
      </c>
      <c r="T23" s="20" t="s">
        <v>151</v>
      </c>
      <c r="U23" s="20" t="s">
        <v>151</v>
      </c>
      <c r="V23" s="20" t="s">
        <v>151</v>
      </c>
      <c r="W23" s="20" t="s">
        <v>151</v>
      </c>
      <c r="X23" s="20" t="s">
        <v>101</v>
      </c>
      <c r="Y23" s="1" t="s">
        <v>152</v>
      </c>
    </row>
    <row r="24" customFormat="false" ht="15" hidden="false" customHeight="true" outlineLevel="0" collapsed="false">
      <c r="A24" s="1" t="s">
        <v>153</v>
      </c>
      <c r="B24" s="21" t="s">
        <v>14</v>
      </c>
      <c r="C24" s="21" t="s">
        <v>15</v>
      </c>
      <c r="D24" s="21" t="s">
        <v>7</v>
      </c>
      <c r="E24" s="21" t="s">
        <v>20</v>
      </c>
      <c r="F24" s="21" t="s">
        <v>21</v>
      </c>
      <c r="G24" s="21" t="s">
        <v>22</v>
      </c>
      <c r="H24" s="21" t="s">
        <v>35</v>
      </c>
      <c r="I24" s="21" t="s">
        <v>36</v>
      </c>
      <c r="J24" s="21" t="s">
        <v>37</v>
      </c>
      <c r="K24" s="21" t="s">
        <v>50</v>
      </c>
      <c r="L24" s="21" t="s">
        <v>51</v>
      </c>
      <c r="M24" s="21" t="s">
        <v>52</v>
      </c>
      <c r="N24" s="21" t="s">
        <v>37</v>
      </c>
      <c r="O24" s="21" t="s">
        <v>36</v>
      </c>
      <c r="P24" s="21" t="s">
        <v>7</v>
      </c>
      <c r="Q24" s="21" t="s">
        <v>50</v>
      </c>
      <c r="R24" s="21" t="s">
        <v>7</v>
      </c>
      <c r="S24" s="21" t="s">
        <v>36</v>
      </c>
      <c r="T24" s="21" t="s">
        <v>36</v>
      </c>
      <c r="U24" s="21" t="s">
        <v>100</v>
      </c>
      <c r="V24" s="21" t="s">
        <v>30</v>
      </c>
      <c r="W24" s="1" t="n">
        <v>223</v>
      </c>
      <c r="X24" s="20" t="s">
        <v>101</v>
      </c>
      <c r="Y24" s="1" t="s">
        <v>154</v>
      </c>
    </row>
    <row r="25" customFormat="false" ht="15" hidden="false" customHeight="true" outlineLevel="0" collapsed="false">
      <c r="A25" s="1" t="s">
        <v>155</v>
      </c>
      <c r="B25" s="21" t="s">
        <v>5</v>
      </c>
      <c r="C25" s="21" t="s">
        <v>15</v>
      </c>
      <c r="D25" s="21" t="s">
        <v>7</v>
      </c>
      <c r="E25" s="21" t="s">
        <v>29</v>
      </c>
      <c r="F25" s="21" t="s">
        <v>21</v>
      </c>
      <c r="G25" s="21" t="s">
        <v>22</v>
      </c>
      <c r="H25" s="21" t="s">
        <v>35</v>
      </c>
      <c r="I25" s="21" t="s">
        <v>36</v>
      </c>
      <c r="J25" s="21" t="s">
        <v>37</v>
      </c>
      <c r="K25" s="21" t="s">
        <v>50</v>
      </c>
      <c r="L25" s="21" t="s">
        <v>51</v>
      </c>
      <c r="M25" s="21" t="s">
        <v>52</v>
      </c>
      <c r="N25" s="21" t="s">
        <v>36</v>
      </c>
      <c r="O25" s="21" t="s">
        <v>7</v>
      </c>
      <c r="P25" s="21" t="s">
        <v>52</v>
      </c>
      <c r="Q25" s="21" t="s">
        <v>37</v>
      </c>
      <c r="R25" s="21" t="s">
        <v>52</v>
      </c>
      <c r="S25" s="21" t="s">
        <v>37</v>
      </c>
      <c r="T25" s="21" t="s">
        <v>52</v>
      </c>
      <c r="U25" s="21" t="s">
        <v>104</v>
      </c>
      <c r="V25" s="21" t="s">
        <v>9</v>
      </c>
      <c r="W25" s="1" t="n">
        <v>83</v>
      </c>
      <c r="X25" s="20" t="s">
        <v>101</v>
      </c>
      <c r="Y25" s="1" t="s">
        <v>156</v>
      </c>
    </row>
    <row r="26" customFormat="false" ht="15" hidden="false" customHeight="true" outlineLevel="0" collapsed="false">
      <c r="A26" s="1" t="s">
        <v>157</v>
      </c>
      <c r="B26" s="21" t="s">
        <v>5</v>
      </c>
      <c r="C26" s="21" t="s">
        <v>15</v>
      </c>
      <c r="D26" s="21" t="s">
        <v>7</v>
      </c>
      <c r="E26" s="21" t="s">
        <v>23</v>
      </c>
      <c r="F26" s="21" t="s">
        <v>21</v>
      </c>
      <c r="G26" s="21" t="s">
        <v>22</v>
      </c>
      <c r="H26" s="21" t="s">
        <v>35</v>
      </c>
      <c r="I26" s="21" t="s">
        <v>36</v>
      </c>
      <c r="J26" s="21" t="s">
        <v>37</v>
      </c>
      <c r="K26" s="21" t="s">
        <v>50</v>
      </c>
      <c r="L26" s="21" t="s">
        <v>51</v>
      </c>
      <c r="M26" s="21" t="s">
        <v>52</v>
      </c>
      <c r="N26" s="21" t="s">
        <v>36</v>
      </c>
      <c r="O26" s="21" t="s">
        <v>37</v>
      </c>
      <c r="P26" s="21" t="s">
        <v>52</v>
      </c>
      <c r="Q26" s="21" t="s">
        <v>50</v>
      </c>
      <c r="R26" s="21" t="s">
        <v>36</v>
      </c>
      <c r="S26" s="21" t="s">
        <v>37</v>
      </c>
      <c r="T26" s="21" t="s">
        <v>37</v>
      </c>
      <c r="U26" s="21" t="s">
        <v>158</v>
      </c>
      <c r="V26" s="21" t="s">
        <v>60</v>
      </c>
      <c r="W26" s="1" t="n">
        <v>102</v>
      </c>
      <c r="X26" s="20" t="s">
        <v>101</v>
      </c>
      <c r="Y26" s="1" t="s">
        <v>159</v>
      </c>
    </row>
    <row r="27" customFormat="false" ht="15" hidden="false" customHeight="true" outlineLevel="0" collapsed="false">
      <c r="A27" s="1" t="s">
        <v>160</v>
      </c>
      <c r="B27" s="21" t="s">
        <v>5</v>
      </c>
      <c r="C27" s="21" t="s">
        <v>15</v>
      </c>
      <c r="D27" s="21" t="s">
        <v>7</v>
      </c>
      <c r="E27" s="21" t="s">
        <v>29</v>
      </c>
      <c r="F27" s="21" t="s">
        <v>21</v>
      </c>
      <c r="G27" s="21" t="s">
        <v>22</v>
      </c>
      <c r="H27" s="21" t="s">
        <v>35</v>
      </c>
      <c r="I27" s="21" t="s">
        <v>36</v>
      </c>
      <c r="J27" s="21" t="s">
        <v>37</v>
      </c>
      <c r="K27" s="21" t="s">
        <v>50</v>
      </c>
      <c r="L27" s="21" t="s">
        <v>51</v>
      </c>
      <c r="M27" s="21" t="s">
        <v>52</v>
      </c>
      <c r="N27" s="21" t="s">
        <v>37</v>
      </c>
      <c r="O27" s="21" t="s">
        <v>36</v>
      </c>
      <c r="P27" s="21" t="s">
        <v>7</v>
      </c>
      <c r="Q27" s="21" t="s">
        <v>52</v>
      </c>
      <c r="R27" s="21" t="s">
        <v>37</v>
      </c>
      <c r="S27" s="21" t="s">
        <v>36</v>
      </c>
      <c r="T27" s="21" t="s">
        <v>37</v>
      </c>
      <c r="U27" s="21" t="s">
        <v>100</v>
      </c>
      <c r="V27" s="21" t="s">
        <v>11</v>
      </c>
      <c r="W27" s="1" t="n">
        <v>265</v>
      </c>
      <c r="X27" s="20" t="s">
        <v>101</v>
      </c>
      <c r="Y27" s="1" t="s">
        <v>161</v>
      </c>
    </row>
    <row r="28" customFormat="false" ht="15" hidden="false" customHeight="true" outlineLevel="0" collapsed="false">
      <c r="A28" s="1" t="s">
        <v>162</v>
      </c>
      <c r="B28" s="21" t="s">
        <v>5</v>
      </c>
      <c r="C28" s="21" t="s">
        <v>15</v>
      </c>
      <c r="D28" s="21" t="s">
        <v>7</v>
      </c>
      <c r="E28" s="21" t="s">
        <v>20</v>
      </c>
      <c r="F28" s="21" t="s">
        <v>21</v>
      </c>
      <c r="G28" s="21" t="s">
        <v>22</v>
      </c>
      <c r="H28" s="21" t="s">
        <v>35</v>
      </c>
      <c r="I28" s="21" t="s">
        <v>36</v>
      </c>
      <c r="J28" s="21" t="s">
        <v>37</v>
      </c>
      <c r="K28" s="21" t="s">
        <v>50</v>
      </c>
      <c r="L28" s="21" t="s">
        <v>51</v>
      </c>
      <c r="M28" s="21" t="s">
        <v>52</v>
      </c>
      <c r="N28" s="21" t="s">
        <v>37</v>
      </c>
      <c r="O28" s="21" t="s">
        <v>7</v>
      </c>
      <c r="P28" s="21" t="s">
        <v>36</v>
      </c>
      <c r="Q28" s="21" t="s">
        <v>50</v>
      </c>
      <c r="R28" s="21" t="s">
        <v>36</v>
      </c>
      <c r="S28" s="21" t="s">
        <v>50</v>
      </c>
      <c r="T28" s="21" t="s">
        <v>50</v>
      </c>
      <c r="U28" s="21" t="s">
        <v>128</v>
      </c>
      <c r="V28" s="21" t="s">
        <v>8</v>
      </c>
      <c r="W28" s="1" t="n">
        <v>260</v>
      </c>
      <c r="X28" s="20" t="s">
        <v>101</v>
      </c>
      <c r="Y28" s="1" t="s">
        <v>163</v>
      </c>
    </row>
    <row r="29" customFormat="false" ht="15" hidden="false" customHeight="true" outlineLevel="0" collapsed="false">
      <c r="A29" s="1" t="s">
        <v>164</v>
      </c>
      <c r="B29" s="21" t="s">
        <v>5</v>
      </c>
      <c r="C29" s="21" t="s">
        <v>9</v>
      </c>
      <c r="D29" s="21" t="s">
        <v>7</v>
      </c>
      <c r="E29" s="21" t="s">
        <v>23</v>
      </c>
      <c r="F29" s="21" t="s">
        <v>21</v>
      </c>
      <c r="G29" s="21" t="s">
        <v>25</v>
      </c>
      <c r="H29" s="21" t="s">
        <v>35</v>
      </c>
      <c r="I29" s="21" t="s">
        <v>36</v>
      </c>
      <c r="J29" s="21" t="s">
        <v>37</v>
      </c>
      <c r="K29" s="21" t="s">
        <v>50</v>
      </c>
      <c r="L29" s="21" t="s">
        <v>51</v>
      </c>
      <c r="M29" s="21" t="s">
        <v>52</v>
      </c>
      <c r="N29" s="21" t="s">
        <v>5</v>
      </c>
      <c r="O29" s="21" t="s">
        <v>7</v>
      </c>
      <c r="P29" s="21" t="s">
        <v>36</v>
      </c>
      <c r="Q29" s="21" t="s">
        <v>37</v>
      </c>
      <c r="R29" s="21" t="s">
        <v>36</v>
      </c>
      <c r="S29" s="21" t="s">
        <v>37</v>
      </c>
      <c r="T29" s="21" t="s">
        <v>37</v>
      </c>
      <c r="U29" s="21" t="s">
        <v>104</v>
      </c>
      <c r="V29" s="21" t="s">
        <v>59</v>
      </c>
      <c r="W29" s="1" t="n">
        <v>242</v>
      </c>
      <c r="X29" s="20" t="s">
        <v>101</v>
      </c>
      <c r="Y29" s="1" t="s">
        <v>165</v>
      </c>
    </row>
    <row r="30" customFormat="false" ht="15" hidden="false" customHeight="true" outlineLevel="0" collapsed="false">
      <c r="A30" s="1" t="s">
        <v>166</v>
      </c>
      <c r="B30" s="21" t="s">
        <v>5</v>
      </c>
      <c r="C30" s="21" t="s">
        <v>15</v>
      </c>
      <c r="D30" s="21" t="s">
        <v>7</v>
      </c>
      <c r="E30" s="21" t="s">
        <v>23</v>
      </c>
      <c r="F30" s="21" t="s">
        <v>21</v>
      </c>
      <c r="G30" s="21" t="s">
        <v>22</v>
      </c>
      <c r="H30" s="21" t="s">
        <v>35</v>
      </c>
      <c r="I30" s="21" t="s">
        <v>36</v>
      </c>
      <c r="J30" s="21" t="s">
        <v>37</v>
      </c>
      <c r="K30" s="21" t="s">
        <v>50</v>
      </c>
      <c r="L30" s="21" t="s">
        <v>51</v>
      </c>
      <c r="M30" s="21" t="s">
        <v>52</v>
      </c>
      <c r="N30" s="21" t="s">
        <v>37</v>
      </c>
      <c r="O30" s="21" t="s">
        <v>36</v>
      </c>
      <c r="P30" s="21" t="s">
        <v>52</v>
      </c>
      <c r="Q30" s="21" t="s">
        <v>50</v>
      </c>
      <c r="R30" s="21" t="s">
        <v>36</v>
      </c>
      <c r="S30" s="21" t="s">
        <v>37</v>
      </c>
      <c r="T30" s="21" t="s">
        <v>36</v>
      </c>
      <c r="U30" s="21" t="s">
        <v>112</v>
      </c>
      <c r="V30" s="21" t="s">
        <v>40</v>
      </c>
      <c r="W30" s="1" t="n">
        <v>169</v>
      </c>
      <c r="X30" s="20" t="s">
        <v>101</v>
      </c>
      <c r="Y30" s="1" t="s">
        <v>167</v>
      </c>
    </row>
    <row r="31" customFormat="false" ht="15" hidden="false" customHeight="true" outlineLevel="0" collapsed="false">
      <c r="A31" s="1" t="s">
        <v>168</v>
      </c>
      <c r="B31" s="21" t="s">
        <v>5</v>
      </c>
      <c r="C31" s="21" t="s">
        <v>6</v>
      </c>
      <c r="D31" s="21" t="s">
        <v>7</v>
      </c>
      <c r="E31" s="21" t="s">
        <v>20</v>
      </c>
      <c r="F31" s="21" t="s">
        <v>21</v>
      </c>
      <c r="G31" s="21" t="s">
        <v>22</v>
      </c>
      <c r="H31" s="21" t="s">
        <v>35</v>
      </c>
      <c r="I31" s="21" t="s">
        <v>36</v>
      </c>
      <c r="J31" s="21" t="s">
        <v>37</v>
      </c>
      <c r="K31" s="21" t="s">
        <v>50</v>
      </c>
      <c r="L31" s="21" t="s">
        <v>51</v>
      </c>
      <c r="M31" s="21" t="s">
        <v>52</v>
      </c>
      <c r="N31" s="21" t="s">
        <v>37</v>
      </c>
      <c r="O31" s="21" t="s">
        <v>50</v>
      </c>
      <c r="P31" s="21" t="s">
        <v>36</v>
      </c>
      <c r="Q31" s="21" t="s">
        <v>51</v>
      </c>
      <c r="R31" s="21" t="s">
        <v>36</v>
      </c>
      <c r="S31" s="21" t="s">
        <v>37</v>
      </c>
      <c r="T31" s="21" t="s">
        <v>36</v>
      </c>
      <c r="U31" s="21" t="s">
        <v>100</v>
      </c>
      <c r="V31" s="21" t="s">
        <v>7</v>
      </c>
      <c r="W31" s="1" t="n">
        <v>203</v>
      </c>
      <c r="X31" s="20" t="s">
        <v>101</v>
      </c>
      <c r="Y31" s="1" t="s">
        <v>169</v>
      </c>
    </row>
    <row r="32" customFormat="false" ht="15" hidden="false" customHeight="true" outlineLevel="0" collapsed="false">
      <c r="A32" s="1" t="s">
        <v>170</v>
      </c>
      <c r="B32" s="21" t="s">
        <v>5</v>
      </c>
      <c r="C32" s="21" t="s">
        <v>15</v>
      </c>
      <c r="D32" s="21" t="s">
        <v>7</v>
      </c>
      <c r="E32" s="21" t="s">
        <v>29</v>
      </c>
      <c r="F32" s="21" t="s">
        <v>21</v>
      </c>
      <c r="G32" s="21" t="s">
        <v>22</v>
      </c>
      <c r="H32" s="21" t="s">
        <v>35</v>
      </c>
      <c r="I32" s="21" t="s">
        <v>36</v>
      </c>
      <c r="J32" s="21" t="s">
        <v>37</v>
      </c>
      <c r="K32" s="21" t="s">
        <v>50</v>
      </c>
      <c r="L32" s="21" t="s">
        <v>51</v>
      </c>
      <c r="M32" s="21" t="s">
        <v>55</v>
      </c>
      <c r="N32" s="21" t="s">
        <v>21</v>
      </c>
      <c r="O32" s="21" t="s">
        <v>35</v>
      </c>
      <c r="P32" s="21" t="s">
        <v>52</v>
      </c>
      <c r="Q32" s="21" t="s">
        <v>51</v>
      </c>
      <c r="R32" s="21" t="s">
        <v>35</v>
      </c>
      <c r="S32" s="21" t="s">
        <v>51</v>
      </c>
      <c r="T32" s="21" t="s">
        <v>51</v>
      </c>
      <c r="U32" s="21" t="s">
        <v>104</v>
      </c>
      <c r="V32" s="21" t="s">
        <v>12</v>
      </c>
      <c r="W32" s="1" t="n">
        <v>291</v>
      </c>
      <c r="X32" s="20" t="s">
        <v>101</v>
      </c>
      <c r="Y32" s="1" t="s">
        <v>171</v>
      </c>
    </row>
    <row r="33" customFormat="false" ht="15" hidden="false" customHeight="true" outlineLevel="0" collapsed="false">
      <c r="A33" s="1" t="s">
        <v>172</v>
      </c>
      <c r="B33" s="21" t="s">
        <v>5</v>
      </c>
      <c r="C33" s="21" t="s">
        <v>15</v>
      </c>
      <c r="D33" s="21" t="s">
        <v>7</v>
      </c>
      <c r="E33" s="21" t="s">
        <v>29</v>
      </c>
      <c r="F33" s="21" t="s">
        <v>21</v>
      </c>
      <c r="G33" s="21" t="s">
        <v>22</v>
      </c>
      <c r="H33" s="21" t="s">
        <v>35</v>
      </c>
      <c r="I33" s="21" t="s">
        <v>36</v>
      </c>
      <c r="J33" s="21" t="s">
        <v>37</v>
      </c>
      <c r="K33" s="21" t="s">
        <v>50</v>
      </c>
      <c r="L33" s="21" t="s">
        <v>51</v>
      </c>
      <c r="M33" s="21" t="s">
        <v>55</v>
      </c>
      <c r="N33" s="21" t="s">
        <v>51</v>
      </c>
      <c r="O33" s="21" t="s">
        <v>37</v>
      </c>
      <c r="P33" s="21" t="s">
        <v>7</v>
      </c>
      <c r="Q33" s="21" t="s">
        <v>36</v>
      </c>
      <c r="R33" s="21" t="s">
        <v>37</v>
      </c>
      <c r="S33" s="21" t="s">
        <v>51</v>
      </c>
      <c r="T33" s="21" t="s">
        <v>37</v>
      </c>
      <c r="U33" s="21" t="s">
        <v>100</v>
      </c>
      <c r="V33" s="21" t="s">
        <v>8</v>
      </c>
      <c r="W33" s="1" t="n">
        <v>218</v>
      </c>
      <c r="X33" s="20" t="s">
        <v>101</v>
      </c>
      <c r="Y33" s="1" t="s">
        <v>173</v>
      </c>
    </row>
    <row r="34" customFormat="false" ht="15" hidden="false" customHeight="true" outlineLevel="0" collapsed="false">
      <c r="A34" s="1" t="s">
        <v>174</v>
      </c>
      <c r="B34" s="21" t="s">
        <v>5</v>
      </c>
      <c r="C34" s="21" t="s">
        <v>6</v>
      </c>
      <c r="D34" s="21" t="s">
        <v>7</v>
      </c>
      <c r="E34" s="21" t="s">
        <v>29</v>
      </c>
      <c r="F34" s="21" t="s">
        <v>21</v>
      </c>
      <c r="G34" s="21" t="s">
        <v>22</v>
      </c>
      <c r="H34" s="21" t="s">
        <v>35</v>
      </c>
      <c r="I34" s="21" t="s">
        <v>36</v>
      </c>
      <c r="J34" s="21" t="s">
        <v>37</v>
      </c>
      <c r="K34" s="21" t="s">
        <v>50</v>
      </c>
      <c r="L34" s="21" t="s">
        <v>51</v>
      </c>
      <c r="M34" s="21" t="s">
        <v>52</v>
      </c>
      <c r="N34" s="21" t="s">
        <v>52</v>
      </c>
      <c r="O34" s="21" t="s">
        <v>36</v>
      </c>
      <c r="P34" s="21" t="s">
        <v>50</v>
      </c>
      <c r="Q34" s="21" t="s">
        <v>37</v>
      </c>
      <c r="R34" s="21" t="s">
        <v>37</v>
      </c>
      <c r="S34" s="21" t="s">
        <v>52</v>
      </c>
      <c r="T34" s="21" t="s">
        <v>52</v>
      </c>
      <c r="U34" s="21" t="s">
        <v>104</v>
      </c>
      <c r="V34" s="21" t="s">
        <v>23</v>
      </c>
      <c r="W34" s="1" t="n">
        <v>279</v>
      </c>
      <c r="X34" s="20" t="s">
        <v>101</v>
      </c>
      <c r="Y34" s="1" t="s">
        <v>175</v>
      </c>
    </row>
    <row r="35" customFormat="false" ht="15" hidden="false" customHeight="true" outlineLevel="0" collapsed="false">
      <c r="A35" s="1" t="s">
        <v>176</v>
      </c>
      <c r="B35" s="21" t="s">
        <v>5</v>
      </c>
      <c r="C35" s="21" t="s">
        <v>15</v>
      </c>
      <c r="D35" s="21" t="s">
        <v>7</v>
      </c>
      <c r="E35" s="21" t="s">
        <v>23</v>
      </c>
      <c r="F35" s="21" t="s">
        <v>21</v>
      </c>
      <c r="G35" s="21" t="s">
        <v>22</v>
      </c>
      <c r="H35" s="21" t="s">
        <v>35</v>
      </c>
      <c r="I35" s="21" t="s">
        <v>36</v>
      </c>
      <c r="J35" s="21" t="s">
        <v>37</v>
      </c>
      <c r="K35" s="21" t="s">
        <v>50</v>
      </c>
      <c r="L35" s="21" t="s">
        <v>51</v>
      </c>
      <c r="M35" s="21" t="s">
        <v>52</v>
      </c>
      <c r="N35" s="21" t="s">
        <v>52</v>
      </c>
      <c r="O35" s="21" t="s">
        <v>50</v>
      </c>
      <c r="P35" s="21" t="s">
        <v>37</v>
      </c>
      <c r="Q35" s="21" t="s">
        <v>36</v>
      </c>
      <c r="R35" s="21" t="s">
        <v>52</v>
      </c>
      <c r="S35" s="21" t="s">
        <v>37</v>
      </c>
      <c r="T35" s="21" t="s">
        <v>52</v>
      </c>
      <c r="U35" s="21" t="s">
        <v>104</v>
      </c>
      <c r="V35" s="21" t="s">
        <v>36</v>
      </c>
      <c r="W35" s="1" t="n">
        <v>14</v>
      </c>
      <c r="X35" s="20" t="s">
        <v>101</v>
      </c>
      <c r="Y35" s="1" t="s">
        <v>177</v>
      </c>
    </row>
    <row r="36" customFormat="false" ht="15" hidden="false" customHeight="true" outlineLevel="0" collapsed="false">
      <c r="A36" s="1" t="s">
        <v>178</v>
      </c>
      <c r="B36" s="21" t="s">
        <v>5</v>
      </c>
      <c r="C36" s="21" t="s">
        <v>15</v>
      </c>
      <c r="D36" s="21" t="s">
        <v>7</v>
      </c>
      <c r="E36" s="21" t="s">
        <v>29</v>
      </c>
      <c r="F36" s="21" t="s">
        <v>21</v>
      </c>
      <c r="G36" s="21" t="s">
        <v>22</v>
      </c>
      <c r="H36" s="21" t="s">
        <v>35</v>
      </c>
      <c r="I36" s="21" t="s">
        <v>36</v>
      </c>
      <c r="J36" s="21" t="s">
        <v>37</v>
      </c>
      <c r="K36" s="21" t="s">
        <v>50</v>
      </c>
      <c r="L36" s="21" t="s">
        <v>51</v>
      </c>
      <c r="M36" s="21" t="s">
        <v>52</v>
      </c>
      <c r="N36" s="21" t="s">
        <v>52</v>
      </c>
      <c r="O36" s="21" t="s">
        <v>36</v>
      </c>
      <c r="P36" s="21" t="s">
        <v>37</v>
      </c>
      <c r="Q36" s="21" t="s">
        <v>22</v>
      </c>
      <c r="R36" s="21" t="s">
        <v>37</v>
      </c>
      <c r="S36" s="21" t="s">
        <v>52</v>
      </c>
      <c r="T36" s="21" t="s">
        <v>52</v>
      </c>
      <c r="U36" s="21" t="s">
        <v>104</v>
      </c>
      <c r="V36" s="21" t="s">
        <v>5</v>
      </c>
      <c r="W36" s="1" t="n">
        <v>350</v>
      </c>
      <c r="X36" s="20" t="s">
        <v>101</v>
      </c>
      <c r="Y36" s="1" t="s">
        <v>179</v>
      </c>
    </row>
    <row r="37" customFormat="false" ht="15" hidden="false" customHeight="true" outlineLevel="0" collapsed="false">
      <c r="A37" s="1" t="s">
        <v>180</v>
      </c>
      <c r="B37" s="21" t="s">
        <v>5</v>
      </c>
      <c r="C37" s="21" t="s">
        <v>15</v>
      </c>
      <c r="D37" s="21" t="s">
        <v>7</v>
      </c>
      <c r="E37" s="21" t="s">
        <v>29</v>
      </c>
      <c r="F37" s="21" t="s">
        <v>21</v>
      </c>
      <c r="G37" s="21" t="s">
        <v>22</v>
      </c>
      <c r="H37" s="21" t="s">
        <v>35</v>
      </c>
      <c r="I37" s="21" t="s">
        <v>36</v>
      </c>
      <c r="J37" s="21" t="s">
        <v>37</v>
      </c>
      <c r="K37" s="21" t="s">
        <v>50</v>
      </c>
      <c r="L37" s="21" t="s">
        <v>51</v>
      </c>
      <c r="M37" s="21" t="s">
        <v>52</v>
      </c>
      <c r="N37" s="21" t="s">
        <v>36</v>
      </c>
      <c r="O37" s="21" t="s">
        <v>37</v>
      </c>
      <c r="P37" s="21" t="s">
        <v>21</v>
      </c>
      <c r="Q37" s="21" t="s">
        <v>50</v>
      </c>
      <c r="R37" s="21" t="s">
        <v>36</v>
      </c>
      <c r="S37" s="21" t="s">
        <v>37</v>
      </c>
      <c r="T37" s="21" t="s">
        <v>37</v>
      </c>
      <c r="U37" s="21" t="s">
        <v>100</v>
      </c>
      <c r="V37" s="21" t="s">
        <v>8</v>
      </c>
      <c r="W37" s="1" t="n">
        <v>297</v>
      </c>
      <c r="X37" s="20" t="s">
        <v>101</v>
      </c>
      <c r="Y37" s="1" t="s">
        <v>181</v>
      </c>
    </row>
    <row r="38" customFormat="false" ht="15" hidden="false" customHeight="true" outlineLevel="0" collapsed="false">
      <c r="A38" s="1" t="s">
        <v>182</v>
      </c>
      <c r="B38" s="21" t="s">
        <v>5</v>
      </c>
      <c r="C38" s="21" t="s">
        <v>15</v>
      </c>
      <c r="D38" s="21" t="s">
        <v>7</v>
      </c>
      <c r="E38" s="21" t="s">
        <v>20</v>
      </c>
      <c r="F38" s="21" t="s">
        <v>21</v>
      </c>
      <c r="G38" s="21" t="s">
        <v>22</v>
      </c>
      <c r="H38" s="21" t="s">
        <v>35</v>
      </c>
      <c r="I38" s="21" t="s">
        <v>36</v>
      </c>
      <c r="J38" s="21" t="s">
        <v>37</v>
      </c>
      <c r="K38" s="21" t="s">
        <v>50</v>
      </c>
      <c r="L38" s="21" t="s">
        <v>51</v>
      </c>
      <c r="M38" s="21" t="s">
        <v>52</v>
      </c>
      <c r="N38" s="21" t="s">
        <v>50</v>
      </c>
      <c r="O38" s="21" t="s">
        <v>7</v>
      </c>
      <c r="P38" s="21" t="s">
        <v>36</v>
      </c>
      <c r="Q38" s="21" t="s">
        <v>37</v>
      </c>
      <c r="R38" s="21" t="s">
        <v>50</v>
      </c>
      <c r="S38" s="21" t="s">
        <v>36</v>
      </c>
      <c r="T38" s="21" t="s">
        <v>50</v>
      </c>
      <c r="U38" s="21" t="s">
        <v>104</v>
      </c>
      <c r="V38" s="21" t="s">
        <v>9</v>
      </c>
      <c r="W38" s="1" t="n">
        <v>287</v>
      </c>
      <c r="X38" s="20" t="s">
        <v>101</v>
      </c>
      <c r="Y38" s="1" t="s">
        <v>183</v>
      </c>
    </row>
    <row r="39" customFormat="false" ht="15" hidden="false" customHeight="true" outlineLevel="0" collapsed="false">
      <c r="A39" s="1" t="s">
        <v>184</v>
      </c>
      <c r="B39" s="21" t="s">
        <v>5</v>
      </c>
      <c r="C39" s="21" t="s">
        <v>15</v>
      </c>
      <c r="D39" s="21" t="s">
        <v>7</v>
      </c>
      <c r="E39" s="21" t="s">
        <v>29</v>
      </c>
      <c r="F39" s="21" t="s">
        <v>21</v>
      </c>
      <c r="G39" s="21" t="s">
        <v>22</v>
      </c>
      <c r="H39" s="21" t="s">
        <v>35</v>
      </c>
      <c r="I39" s="21" t="s">
        <v>36</v>
      </c>
      <c r="J39" s="21" t="s">
        <v>37</v>
      </c>
      <c r="K39" s="21" t="s">
        <v>50</v>
      </c>
      <c r="L39" s="21" t="s">
        <v>51</v>
      </c>
      <c r="M39" s="21" t="s">
        <v>52</v>
      </c>
      <c r="N39" s="21" t="s">
        <v>52</v>
      </c>
      <c r="O39" s="21" t="s">
        <v>37</v>
      </c>
      <c r="P39" s="21" t="s">
        <v>7</v>
      </c>
      <c r="Q39" s="21" t="s">
        <v>21</v>
      </c>
      <c r="R39" s="21" t="s">
        <v>7</v>
      </c>
      <c r="S39" s="21" t="s">
        <v>37</v>
      </c>
      <c r="T39" s="21" t="s">
        <v>37</v>
      </c>
      <c r="U39" s="21" t="s">
        <v>158</v>
      </c>
      <c r="V39" s="21" t="s">
        <v>14</v>
      </c>
      <c r="W39" s="25" t="n">
        <v>232</v>
      </c>
      <c r="X39" s="20" t="s">
        <v>101</v>
      </c>
      <c r="Y39" s="1" t="s">
        <v>185</v>
      </c>
    </row>
    <row r="40" customFormat="false" ht="15" hidden="false" customHeight="true" outlineLevel="0" collapsed="false">
      <c r="A40" s="1" t="s">
        <v>186</v>
      </c>
      <c r="B40" s="21" t="s">
        <v>5</v>
      </c>
      <c r="C40" s="21" t="s">
        <v>9</v>
      </c>
      <c r="D40" s="21" t="s">
        <v>7</v>
      </c>
      <c r="E40" s="21" t="s">
        <v>20</v>
      </c>
      <c r="F40" s="21" t="s">
        <v>21</v>
      </c>
      <c r="G40" s="21" t="s">
        <v>22</v>
      </c>
      <c r="H40" s="21" t="s">
        <v>35</v>
      </c>
      <c r="I40" s="21" t="s">
        <v>36</v>
      </c>
      <c r="J40" s="21" t="s">
        <v>37</v>
      </c>
      <c r="K40" s="21" t="s">
        <v>50</v>
      </c>
      <c r="L40" s="21" t="s">
        <v>51</v>
      </c>
      <c r="M40" s="21" t="s">
        <v>52</v>
      </c>
      <c r="N40" s="21" t="s">
        <v>7</v>
      </c>
      <c r="O40" s="21" t="s">
        <v>52</v>
      </c>
      <c r="P40" s="21" t="s">
        <v>36</v>
      </c>
      <c r="Q40" s="21" t="s">
        <v>37</v>
      </c>
      <c r="R40" s="21" t="s">
        <v>7</v>
      </c>
      <c r="S40" s="21" t="s">
        <v>52</v>
      </c>
      <c r="T40" s="21" t="s">
        <v>52</v>
      </c>
      <c r="U40" s="21" t="s">
        <v>104</v>
      </c>
      <c r="V40" s="21" t="s">
        <v>60</v>
      </c>
      <c r="W40" s="1" t="n">
        <v>231</v>
      </c>
      <c r="X40" s="20" t="s">
        <v>101</v>
      </c>
      <c r="Y40" s="1" t="s">
        <v>187</v>
      </c>
    </row>
    <row r="41" customFormat="false" ht="15" hidden="false" customHeight="true" outlineLevel="0" collapsed="false">
      <c r="A41" s="1" t="s">
        <v>188</v>
      </c>
      <c r="B41" s="21" t="s">
        <v>8</v>
      </c>
      <c r="C41" s="21" t="s">
        <v>15</v>
      </c>
      <c r="D41" s="21" t="s">
        <v>7</v>
      </c>
      <c r="E41" s="21" t="s">
        <v>29</v>
      </c>
      <c r="F41" s="21" t="s">
        <v>27</v>
      </c>
      <c r="G41" s="21" t="s">
        <v>22</v>
      </c>
      <c r="H41" s="21" t="s">
        <v>35</v>
      </c>
      <c r="I41" s="21" t="s">
        <v>36</v>
      </c>
      <c r="J41" s="21" t="s">
        <v>37</v>
      </c>
      <c r="K41" s="21" t="s">
        <v>50</v>
      </c>
      <c r="L41" s="21" t="s">
        <v>51</v>
      </c>
      <c r="M41" s="21" t="s">
        <v>58</v>
      </c>
      <c r="N41" s="21" t="s">
        <v>7</v>
      </c>
      <c r="O41" s="21" t="s">
        <v>36</v>
      </c>
      <c r="P41" s="21" t="s">
        <v>29</v>
      </c>
      <c r="Q41" s="21" t="s">
        <v>37</v>
      </c>
      <c r="R41" s="21" t="s">
        <v>7</v>
      </c>
      <c r="S41" s="21" t="s">
        <v>36</v>
      </c>
      <c r="T41" s="21" t="s">
        <v>36</v>
      </c>
      <c r="U41" s="21" t="s">
        <v>128</v>
      </c>
      <c r="V41" s="21" t="s">
        <v>9</v>
      </c>
      <c r="W41" s="1" t="n">
        <v>278</v>
      </c>
      <c r="X41" s="20" t="s">
        <v>101</v>
      </c>
      <c r="Y41" s="1" t="s">
        <v>189</v>
      </c>
    </row>
    <row r="42" customFormat="false" ht="15" hidden="false" customHeight="true" outlineLevel="0" collapsed="false">
      <c r="A42" s="1" t="s">
        <v>190</v>
      </c>
      <c r="B42" s="21" t="s">
        <v>11</v>
      </c>
      <c r="C42" s="21" t="s">
        <v>15</v>
      </c>
      <c r="D42" s="21" t="s">
        <v>7</v>
      </c>
      <c r="E42" s="21" t="s">
        <v>29</v>
      </c>
      <c r="F42" s="21" t="s">
        <v>21</v>
      </c>
      <c r="G42" s="21" t="s">
        <v>22</v>
      </c>
      <c r="H42" s="21" t="s">
        <v>35</v>
      </c>
      <c r="I42" s="21" t="s">
        <v>36</v>
      </c>
      <c r="J42" s="21" t="s">
        <v>37</v>
      </c>
      <c r="K42" s="21" t="s">
        <v>50</v>
      </c>
      <c r="L42" s="21" t="s">
        <v>51</v>
      </c>
      <c r="M42" s="21" t="s">
        <v>52</v>
      </c>
      <c r="N42" s="21" t="s">
        <v>36</v>
      </c>
      <c r="O42" s="21" t="s">
        <v>22</v>
      </c>
      <c r="P42" s="21" t="s">
        <v>52</v>
      </c>
      <c r="Q42" s="21" t="s">
        <v>51</v>
      </c>
      <c r="R42" s="21" t="s">
        <v>22</v>
      </c>
      <c r="S42" s="21" t="s">
        <v>51</v>
      </c>
      <c r="T42" s="21" t="s">
        <v>22</v>
      </c>
      <c r="U42" s="21" t="s">
        <v>104</v>
      </c>
      <c r="V42" s="21" t="s">
        <v>8</v>
      </c>
      <c r="W42" s="1" t="n">
        <v>373</v>
      </c>
      <c r="X42" s="20" t="s">
        <v>101</v>
      </c>
      <c r="Y42" s="1" t="s">
        <v>191</v>
      </c>
    </row>
    <row r="43" customFormat="false" ht="15" hidden="false" customHeight="true" outlineLevel="0" collapsed="false">
      <c r="A43" s="1" t="s">
        <v>192</v>
      </c>
      <c r="B43" s="21" t="s">
        <v>5</v>
      </c>
      <c r="C43" s="21" t="s">
        <v>15</v>
      </c>
      <c r="D43" s="21" t="s">
        <v>7</v>
      </c>
      <c r="E43" s="21" t="s">
        <v>29</v>
      </c>
      <c r="F43" s="21" t="s">
        <v>21</v>
      </c>
      <c r="G43" s="21" t="s">
        <v>22</v>
      </c>
      <c r="H43" s="21" t="s">
        <v>35</v>
      </c>
      <c r="I43" s="21" t="s">
        <v>36</v>
      </c>
      <c r="J43" s="21" t="s">
        <v>37</v>
      </c>
      <c r="K43" s="21" t="s">
        <v>50</v>
      </c>
      <c r="L43" s="21" t="s">
        <v>51</v>
      </c>
      <c r="M43" s="21" t="s">
        <v>52</v>
      </c>
      <c r="N43" s="21" t="s">
        <v>7</v>
      </c>
      <c r="O43" s="21" t="s">
        <v>37</v>
      </c>
      <c r="P43" s="21" t="s">
        <v>21</v>
      </c>
      <c r="Q43" s="21" t="s">
        <v>36</v>
      </c>
      <c r="R43" s="21" t="s">
        <v>7</v>
      </c>
      <c r="S43" s="21" t="s">
        <v>37</v>
      </c>
      <c r="T43" s="21" t="s">
        <v>37</v>
      </c>
      <c r="U43" s="21" t="s">
        <v>158</v>
      </c>
      <c r="V43" s="21" t="s">
        <v>45</v>
      </c>
      <c r="W43" s="1" t="n">
        <v>243</v>
      </c>
      <c r="X43" s="20" t="s">
        <v>113</v>
      </c>
    </row>
    <row r="44" customFormat="false" ht="15" hidden="false" customHeight="true" outlineLevel="0" collapsed="false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X44" s="20"/>
    </row>
    <row r="45" customFormat="false" ht="15" hidden="false" customHeight="true" outlineLevel="0" collapsed="false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X45" s="20"/>
    </row>
    <row r="46" customFormat="false" ht="15" hidden="false" customHeight="true" outlineLevel="0" collapsed="false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X46" s="20"/>
    </row>
    <row r="47" customFormat="false" ht="15" hidden="false" customHeight="true" outlineLevel="0" collapsed="false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X47" s="20"/>
    </row>
    <row r="48" customFormat="false" ht="15" hidden="false" customHeight="true" outlineLevel="0" collapsed="false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X48" s="20"/>
    </row>
    <row r="49" customFormat="false" ht="15" hidden="false" customHeight="true" outlineLevel="0" collapsed="false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X49" s="20"/>
    </row>
    <row r="50" customFormat="false" ht="15" hidden="false" customHeight="true" outlineLevel="0" collapsed="false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X50" s="20"/>
    </row>
    <row r="51" customFormat="false" ht="15" hidden="false" customHeight="true" outlineLevel="0" collapsed="false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X51" s="20"/>
    </row>
    <row r="52" customFormat="false" ht="15" hidden="false" customHeight="true" outlineLevel="0" collapsed="false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X52" s="20"/>
    </row>
    <row r="53" customFormat="false" ht="15" hidden="false" customHeight="true" outlineLevel="0" collapsed="false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X53" s="20"/>
    </row>
    <row r="54" customFormat="false" ht="15" hidden="false" customHeight="true" outlineLevel="0" collapsed="false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X54" s="20"/>
    </row>
    <row r="55" customFormat="false" ht="15" hidden="false" customHeight="true" outlineLevel="0" collapsed="false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X55" s="20"/>
    </row>
    <row r="56" customFormat="false" ht="15" hidden="false" customHeight="true" outlineLevel="0" collapsed="false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X56" s="20"/>
    </row>
    <row r="57" customFormat="false" ht="15" hidden="false" customHeight="true" outlineLevel="0" collapsed="false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X57" s="20"/>
    </row>
    <row r="58" customFormat="false" ht="15" hidden="false" customHeight="true" outlineLevel="0" collapsed="false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X58" s="20"/>
    </row>
    <row r="59" customFormat="false" ht="15" hidden="false" customHeight="true" outlineLevel="0" collapsed="false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X59" s="20"/>
    </row>
    <row r="60" customFormat="false" ht="15" hidden="false" customHeight="true" outlineLevel="0" collapsed="false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X60" s="20"/>
    </row>
    <row r="61" customFormat="false" ht="15" hidden="false" customHeight="true" outlineLevel="0" collapsed="false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X61" s="20"/>
    </row>
    <row r="62" customFormat="false" ht="15" hidden="false" customHeight="true" outlineLevel="0" collapsed="false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X62" s="20"/>
    </row>
    <row r="63" customFormat="false" ht="15" hidden="false" customHeight="true" outlineLevel="0" collapsed="false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X63" s="20"/>
    </row>
    <row r="64" customFormat="false" ht="15" hidden="false" customHeight="true" outlineLevel="0" collapsed="false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X64" s="20"/>
    </row>
    <row r="65" customFormat="false" ht="15" hidden="false" customHeight="tru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X65" s="20"/>
    </row>
    <row r="66" customFormat="false" ht="15" hidden="false" customHeight="tru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X66" s="20"/>
    </row>
    <row r="67" customFormat="false" ht="15" hidden="false" customHeight="tru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X67" s="20"/>
    </row>
    <row r="68" customFormat="false" ht="15" hidden="false" customHeight="tru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X68" s="20"/>
    </row>
    <row r="69" customFormat="false" ht="15" hidden="false" customHeight="tru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X69" s="20"/>
    </row>
    <row r="70" customFormat="false" ht="15" hidden="false" customHeight="tru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X70" s="20"/>
    </row>
    <row r="71" customFormat="false" ht="15" hidden="false" customHeight="tru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X71" s="20"/>
    </row>
    <row r="72" customFormat="false" ht="15" hidden="false" customHeight="tru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X72" s="20"/>
    </row>
    <row r="73" customFormat="false" ht="15" hidden="false" customHeight="tru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X73" s="20"/>
    </row>
    <row r="74" customFormat="false" ht="15" hidden="false" customHeight="tru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X74" s="20"/>
    </row>
    <row r="75" customFormat="false" ht="15" hidden="false" customHeight="tru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X75" s="20"/>
    </row>
    <row r="76" customFormat="false" ht="15" hidden="false" customHeight="tru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X76" s="20"/>
    </row>
    <row r="77" customFormat="false" ht="15" hidden="false" customHeight="tru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X77" s="20"/>
    </row>
    <row r="78" customFormat="false" ht="15" hidden="false" customHeight="tru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X78" s="20"/>
    </row>
    <row r="79" customFormat="false" ht="15" hidden="false" customHeight="tru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X79" s="20"/>
    </row>
    <row r="80" customFormat="false" ht="15" hidden="false" customHeight="tru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X80" s="20"/>
    </row>
    <row r="81" customFormat="false" ht="15" hidden="false" customHeight="tru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X81" s="20"/>
    </row>
    <row r="82" customFormat="false" ht="15" hidden="false" customHeight="tru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X82" s="20"/>
    </row>
    <row r="83" customFormat="false" ht="15" hidden="false" customHeight="tru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X83" s="20"/>
    </row>
    <row r="84" customFormat="false" ht="15" hidden="false" customHeight="tru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X84" s="20"/>
    </row>
    <row r="85" customFormat="false" ht="15" hidden="false" customHeight="tru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X85" s="20"/>
    </row>
    <row r="86" customFormat="false" ht="15" hidden="false" customHeight="true" outlineLevel="0" collapsed="false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X86" s="20"/>
    </row>
    <row r="87" customFormat="false" ht="15" hidden="false" customHeight="true" outlineLevel="0" collapsed="false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X87" s="20"/>
    </row>
    <row r="88" customFormat="false" ht="15" hidden="false" customHeight="true" outlineLevel="0" collapsed="false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X88" s="20"/>
    </row>
    <row r="89" customFormat="false" ht="15" hidden="false" customHeight="true" outlineLevel="0" collapsed="false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X89" s="20"/>
    </row>
    <row r="90" customFormat="false" ht="15" hidden="false" customHeight="true" outlineLevel="0" collapsed="false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X90" s="20"/>
    </row>
    <row r="91" customFormat="false" ht="15" hidden="false" customHeight="true" outlineLevel="0" collapsed="false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X91" s="20"/>
    </row>
    <row r="92" customFormat="false" ht="15" hidden="false" customHeight="true" outlineLevel="0" collapsed="false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X92" s="20"/>
    </row>
    <row r="93" customFormat="false" ht="15" hidden="false" customHeight="true" outlineLevel="0" collapsed="false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X93" s="20"/>
    </row>
    <row r="94" customFormat="false" ht="15" hidden="false" customHeight="true" outlineLevel="0" collapsed="false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X94" s="20"/>
    </row>
    <row r="95" customFormat="false" ht="15" hidden="false" customHeight="true" outlineLevel="0" collapsed="false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X95" s="20"/>
    </row>
    <row r="96" customFormat="false" ht="15" hidden="false" customHeight="true" outlineLevel="0" collapsed="false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X96" s="20"/>
    </row>
    <row r="97" customFormat="false" ht="15" hidden="false" customHeight="true" outlineLevel="0" collapsed="false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X97" s="20"/>
    </row>
    <row r="98" customFormat="false" ht="15" hidden="false" customHeight="true" outlineLevel="0" collapsed="false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X98" s="20"/>
    </row>
    <row r="99" customFormat="false" ht="15" hidden="false" customHeight="true" outlineLevel="0" collapsed="false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X99" s="20"/>
    </row>
    <row r="100" customFormat="false" ht="15" hidden="false" customHeight="true" outlineLevel="0" collapsed="false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X100" s="20"/>
    </row>
    <row r="101" customFormat="false" ht="15" hidden="false" customHeight="true" outlineLevel="0" collapsed="false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X101" s="20"/>
    </row>
    <row r="102" customFormat="false" ht="15" hidden="false" customHeight="true" outlineLevel="0" collapsed="false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X102" s="20"/>
    </row>
    <row r="103" customFormat="false" ht="15" hidden="false" customHeight="true" outlineLevel="0" collapsed="false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X103" s="20"/>
    </row>
    <row r="104" customFormat="false" ht="15" hidden="false" customHeight="true" outlineLevel="0" collapsed="false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X104" s="20"/>
    </row>
    <row r="105" customFormat="false" ht="15" hidden="false" customHeight="true" outlineLevel="0" collapsed="false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X105" s="20"/>
    </row>
    <row r="106" customFormat="false" ht="15" hidden="false" customHeight="true" outlineLevel="0" collapsed="false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X106" s="20"/>
    </row>
    <row r="107" customFormat="false" ht="15" hidden="false" customHeight="true" outlineLevel="0" collapsed="false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X107" s="20"/>
    </row>
    <row r="108" customFormat="false" ht="15" hidden="false" customHeight="true" outlineLevel="0" collapsed="false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X108" s="20"/>
    </row>
    <row r="109" customFormat="false" ht="15" hidden="false" customHeight="true" outlineLevel="0" collapsed="false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X109" s="20"/>
    </row>
    <row r="110" customFormat="false" ht="15" hidden="false" customHeight="true" outlineLevel="0" collapsed="false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X110" s="20"/>
    </row>
    <row r="111" customFormat="false" ht="15" hidden="false" customHeight="true" outlineLevel="0" collapsed="false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X111" s="20"/>
    </row>
    <row r="112" customFormat="false" ht="15" hidden="false" customHeight="true" outlineLevel="0" collapsed="false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X112" s="20"/>
    </row>
    <row r="113" customFormat="false" ht="15" hidden="false" customHeight="true" outlineLevel="0" collapsed="false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X113" s="20"/>
    </row>
    <row r="114" customFormat="false" ht="15" hidden="false" customHeight="true" outlineLevel="0" collapsed="false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X114" s="20"/>
    </row>
    <row r="115" customFormat="false" ht="15" hidden="false" customHeight="true" outlineLevel="0" collapsed="false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X115" s="20"/>
    </row>
    <row r="116" customFormat="false" ht="15" hidden="false" customHeight="true" outlineLevel="0" collapsed="false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X116" s="20"/>
    </row>
    <row r="117" customFormat="false" ht="15" hidden="false" customHeight="true" outlineLevel="0" collapsed="false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X117" s="20"/>
    </row>
    <row r="118" customFormat="false" ht="15" hidden="false" customHeight="true" outlineLevel="0" collapsed="false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X118" s="20"/>
    </row>
    <row r="119" customFormat="false" ht="15" hidden="false" customHeight="true" outlineLevel="0" collapsed="false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X119" s="20"/>
    </row>
    <row r="120" customFormat="false" ht="15" hidden="false" customHeight="true" outlineLevel="0" collapsed="false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X120" s="20"/>
    </row>
    <row r="121" customFormat="false" ht="15" hidden="false" customHeight="true" outlineLevel="0" collapsed="false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X121" s="20"/>
    </row>
    <row r="122" customFormat="false" ht="15" hidden="false" customHeight="true" outlineLevel="0" collapsed="false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X122" s="20"/>
    </row>
    <row r="123" customFormat="false" ht="15" hidden="false" customHeight="true" outlineLevel="0" collapsed="false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X123" s="20"/>
    </row>
    <row r="124" customFormat="false" ht="15" hidden="false" customHeight="true" outlineLevel="0" collapsed="false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X124" s="20"/>
    </row>
    <row r="125" customFormat="false" ht="15" hidden="false" customHeight="true" outlineLevel="0" collapsed="false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X125" s="20"/>
    </row>
    <row r="126" customFormat="false" ht="15" hidden="false" customHeight="true" outlineLevel="0" collapsed="false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X126" s="20"/>
    </row>
    <row r="127" customFormat="false" ht="15" hidden="false" customHeight="true" outlineLevel="0" collapsed="false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X127" s="20"/>
    </row>
    <row r="128" customFormat="false" ht="15" hidden="false" customHeight="true" outlineLevel="0" collapsed="false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X128" s="20"/>
    </row>
    <row r="129" customFormat="false" ht="15" hidden="false" customHeight="true" outlineLevel="0" collapsed="false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X129" s="20"/>
    </row>
    <row r="130" customFormat="false" ht="15" hidden="false" customHeight="true" outlineLevel="0" collapsed="false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X130" s="20"/>
    </row>
    <row r="131" customFormat="false" ht="15" hidden="false" customHeight="true" outlineLevel="0" collapsed="false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X131" s="20"/>
    </row>
    <row r="132" customFormat="false" ht="15" hidden="false" customHeight="true" outlineLevel="0" collapsed="false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X132" s="20"/>
    </row>
    <row r="133" customFormat="false" ht="15" hidden="false" customHeight="true" outlineLevel="0" collapsed="false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X133" s="20"/>
    </row>
    <row r="134" customFormat="false" ht="15" hidden="false" customHeight="true" outlineLevel="0" collapsed="false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X134" s="20"/>
    </row>
    <row r="135" customFormat="false" ht="15" hidden="false" customHeight="true" outlineLevel="0" collapsed="false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X135" s="20"/>
    </row>
    <row r="136" customFormat="false" ht="15" hidden="false" customHeight="true" outlineLevel="0" collapsed="false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X136" s="20"/>
    </row>
    <row r="137" customFormat="false" ht="15" hidden="false" customHeight="true" outlineLevel="0" collapsed="false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X137" s="20"/>
    </row>
    <row r="138" customFormat="false" ht="15" hidden="false" customHeight="true" outlineLevel="0" collapsed="false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X138" s="20"/>
    </row>
    <row r="139" customFormat="false" ht="15" hidden="false" customHeight="true" outlineLevel="0" collapsed="false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X139" s="20"/>
    </row>
    <row r="140" customFormat="false" ht="15" hidden="false" customHeight="true" outlineLevel="0" collapsed="false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X140" s="20"/>
    </row>
    <row r="141" customFormat="false" ht="15" hidden="false" customHeight="true" outlineLevel="0" collapsed="false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X141" s="20"/>
    </row>
    <row r="142" customFormat="false" ht="15" hidden="false" customHeight="true" outlineLevel="0" collapsed="false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X142" s="20"/>
    </row>
    <row r="143" customFormat="false" ht="15" hidden="false" customHeight="true" outlineLevel="0" collapsed="false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X143" s="20"/>
    </row>
    <row r="144" customFormat="false" ht="15" hidden="false" customHeight="true" outlineLevel="0" collapsed="false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X144" s="20"/>
    </row>
    <row r="145" customFormat="false" ht="15" hidden="false" customHeight="true" outlineLevel="0" collapsed="false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X145" s="20"/>
    </row>
    <row r="146" customFormat="false" ht="15" hidden="false" customHeight="true" outlineLevel="0" collapsed="false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X146" s="20"/>
    </row>
    <row r="147" customFormat="false" ht="15" hidden="false" customHeight="true" outlineLevel="0" collapsed="false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X147" s="20"/>
    </row>
    <row r="148" customFormat="false" ht="15" hidden="false" customHeight="true" outlineLevel="0" collapsed="false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X148" s="20"/>
    </row>
    <row r="149" customFormat="false" ht="15" hidden="false" customHeight="true" outlineLevel="0" collapsed="false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X149" s="20"/>
    </row>
    <row r="150" customFormat="false" ht="15" hidden="false" customHeight="true" outlineLevel="0" collapsed="false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X150" s="20"/>
    </row>
    <row r="151" customFormat="false" ht="15" hidden="false" customHeight="true" outlineLevel="0" collapsed="false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X151" s="20"/>
    </row>
    <row r="152" customFormat="false" ht="15" hidden="false" customHeight="true" outlineLevel="0" collapsed="false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X152" s="20"/>
    </row>
    <row r="153" customFormat="false" ht="15" hidden="false" customHeight="true" outlineLevel="0" collapsed="false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X153" s="20"/>
    </row>
    <row r="154" customFormat="false" ht="15" hidden="false" customHeight="true" outlineLevel="0" collapsed="false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X154" s="20"/>
    </row>
    <row r="155" customFormat="false" ht="15" hidden="false" customHeight="true" outlineLevel="0" collapsed="false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X155" s="20"/>
    </row>
    <row r="156" customFormat="false" ht="15" hidden="false" customHeight="true" outlineLevel="0" collapsed="false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X156" s="20"/>
    </row>
    <row r="157" customFormat="false" ht="15" hidden="false" customHeight="true" outlineLevel="0" collapsed="false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X157" s="20"/>
    </row>
    <row r="158" customFormat="false" ht="15" hidden="false" customHeight="true" outlineLevel="0" collapsed="false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X158" s="20"/>
    </row>
    <row r="159" customFormat="false" ht="15" hidden="false" customHeight="true" outlineLevel="0" collapsed="false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X159" s="20"/>
    </row>
    <row r="160" customFormat="false" ht="15" hidden="false" customHeight="true" outlineLevel="0" collapsed="false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X160" s="20"/>
    </row>
    <row r="161" customFormat="false" ht="15" hidden="false" customHeight="true" outlineLevel="0" collapsed="false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X161" s="20"/>
    </row>
    <row r="162" customFormat="false" ht="15" hidden="false" customHeight="true" outlineLevel="0" collapsed="false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X162" s="20"/>
    </row>
    <row r="163" customFormat="false" ht="15" hidden="false" customHeight="true" outlineLevel="0" collapsed="false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X163" s="20"/>
    </row>
    <row r="164" customFormat="false" ht="15" hidden="false" customHeight="true" outlineLevel="0" collapsed="false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X164" s="20"/>
    </row>
    <row r="165" customFormat="false" ht="15" hidden="false" customHeight="true" outlineLevel="0" collapsed="false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X165" s="20"/>
    </row>
    <row r="166" customFormat="false" ht="15" hidden="false" customHeight="true" outlineLevel="0" collapsed="false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X166" s="20"/>
    </row>
    <row r="167" customFormat="false" ht="15" hidden="false" customHeight="true" outlineLevel="0" collapsed="false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X167" s="20"/>
    </row>
    <row r="168" customFormat="false" ht="15" hidden="false" customHeight="true" outlineLevel="0" collapsed="false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X168" s="20"/>
    </row>
    <row r="169" customFormat="false" ht="15" hidden="false" customHeight="true" outlineLevel="0" collapsed="false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X169" s="20"/>
    </row>
    <row r="170" customFormat="false" ht="15" hidden="false" customHeight="true" outlineLevel="0" collapsed="false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X170" s="20"/>
    </row>
    <row r="171" customFormat="false" ht="15" hidden="false" customHeight="true" outlineLevel="0" collapsed="false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X171" s="20"/>
    </row>
    <row r="172" customFormat="false" ht="15" hidden="false" customHeight="true" outlineLevel="0" collapsed="false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X172" s="20"/>
    </row>
    <row r="173" customFormat="false" ht="15" hidden="false" customHeight="true" outlineLevel="0" collapsed="false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X173" s="20"/>
    </row>
    <row r="174" customFormat="false" ht="15" hidden="false" customHeight="true" outlineLevel="0" collapsed="false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X174" s="20"/>
    </row>
    <row r="175" customFormat="false" ht="15" hidden="false" customHeight="true" outlineLevel="0" collapsed="false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X175" s="20"/>
    </row>
    <row r="176" customFormat="false" ht="15" hidden="false" customHeight="true" outlineLevel="0" collapsed="false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X176" s="20"/>
    </row>
    <row r="177" customFormat="false" ht="15" hidden="false" customHeight="true" outlineLevel="0" collapsed="false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X177" s="20"/>
    </row>
    <row r="178" customFormat="false" ht="15" hidden="false" customHeight="true" outlineLevel="0" collapsed="false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X178" s="20"/>
    </row>
    <row r="179" customFormat="false" ht="15" hidden="false" customHeight="true" outlineLevel="0" collapsed="false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X179" s="20"/>
    </row>
    <row r="180" customFormat="false" ht="15" hidden="false" customHeight="true" outlineLevel="0" collapsed="false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X180" s="20"/>
    </row>
    <row r="181" customFormat="false" ht="15" hidden="false" customHeight="true" outlineLevel="0" collapsed="false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X181" s="20"/>
    </row>
    <row r="182" customFormat="false" ht="15" hidden="false" customHeight="true" outlineLevel="0" collapsed="false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X182" s="20"/>
    </row>
    <row r="183" customFormat="false" ht="15" hidden="false" customHeight="true" outlineLevel="0" collapsed="false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X183" s="20"/>
    </row>
    <row r="184" customFormat="false" ht="15" hidden="false" customHeight="true" outlineLevel="0" collapsed="false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X184" s="20"/>
    </row>
    <row r="185" customFormat="false" ht="15" hidden="false" customHeight="true" outlineLevel="0" collapsed="false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X185" s="20"/>
    </row>
    <row r="186" customFormat="false" ht="15" hidden="false" customHeight="true" outlineLevel="0" collapsed="false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X186" s="20"/>
    </row>
    <row r="187" customFormat="false" ht="15" hidden="false" customHeight="true" outlineLevel="0" collapsed="false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X187" s="20"/>
    </row>
    <row r="188" customFormat="false" ht="15" hidden="false" customHeight="true" outlineLevel="0" collapsed="false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X188" s="20"/>
    </row>
    <row r="189" customFormat="false" ht="15" hidden="false" customHeight="true" outlineLevel="0" collapsed="false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X189" s="20"/>
    </row>
    <row r="190" customFormat="false" ht="15" hidden="false" customHeight="true" outlineLevel="0" collapsed="false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X190" s="20"/>
    </row>
    <row r="191" customFormat="false" ht="15" hidden="false" customHeight="true" outlineLevel="0" collapsed="false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X191" s="20"/>
    </row>
    <row r="192" customFormat="false" ht="15" hidden="false" customHeight="true" outlineLevel="0" collapsed="false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X192" s="20"/>
    </row>
    <row r="193" customFormat="false" ht="15" hidden="false" customHeight="true" outlineLevel="0" collapsed="false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X193" s="20"/>
    </row>
    <row r="194" customFormat="false" ht="15" hidden="false" customHeight="true" outlineLevel="0" collapsed="false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X194" s="20"/>
    </row>
    <row r="195" customFormat="false" ht="15" hidden="false" customHeight="true" outlineLevel="0" collapsed="false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X195" s="20"/>
    </row>
    <row r="196" customFormat="false" ht="15" hidden="false" customHeight="true" outlineLevel="0" collapsed="false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X196" s="20"/>
    </row>
    <row r="197" customFormat="false" ht="15" hidden="false" customHeight="true" outlineLevel="0" collapsed="false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X197" s="20"/>
    </row>
    <row r="198" customFormat="false" ht="15" hidden="false" customHeight="true" outlineLevel="0" collapsed="false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X198" s="20"/>
    </row>
    <row r="199" customFormat="false" ht="15" hidden="false" customHeight="true" outlineLevel="0" collapsed="false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X199" s="20"/>
    </row>
    <row r="200" customFormat="false" ht="15" hidden="false" customHeight="true" outlineLevel="0" collapsed="false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X200" s="20"/>
    </row>
    <row r="201" customFormat="false" ht="15" hidden="false" customHeight="true" outlineLevel="0" collapsed="false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X201" s="20"/>
    </row>
    <row r="202" customFormat="false" ht="15" hidden="false" customHeight="true" outlineLevel="0" collapsed="false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X202" s="20"/>
    </row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32">
    <dataValidation allowBlank="false" errorStyle="stop" operator="equal" showDropDown="false" showErrorMessage="true" showInputMessage="true" sqref="B2:B22 B24:B202" type="list">
      <formula1>"Mexico,South Africa,South Korea,Czechia"</formula1>
      <formula2>0</formula2>
    </dataValidation>
    <dataValidation allowBlank="false" errorStyle="stop" operator="equal" showDropDown="false" showErrorMessage="true" showInputMessage="true" sqref="C2:C22 C24:C202" type="list">
      <formula1>"Canada,Bosnia &amp; Herzegovina,Qatar,Switzerland"</formula1>
      <formula2>0</formula2>
    </dataValidation>
    <dataValidation allowBlank="false" errorStyle="stop" operator="equal" showDropDown="false" showErrorMessage="true" showInputMessage="true" sqref="D2:D22 D24:D202" type="list">
      <formula1>"Brazil,Morocca,Haiti,Scotland"</formula1>
      <formula2>0</formula2>
    </dataValidation>
    <dataValidation allowBlank="false" errorStyle="stop" operator="equal" showDropDown="false" showErrorMessage="true" showInputMessage="true" sqref="E2:E22 E24:E202" type="list">
      <formula1>"USA,Paraguay,Australia,Turkey"</formula1>
      <formula2>0</formula2>
    </dataValidation>
    <dataValidation allowBlank="false" errorStyle="stop" operator="equal" showDropDown="false" showErrorMessage="true" showInputMessage="true" sqref="F2:F22 F24:F202" type="list">
      <formula1>"Germany,Curacao,Ivory Coast,Ecuador"</formula1>
      <formula2>0</formula2>
    </dataValidation>
    <dataValidation allowBlank="false" errorStyle="stop" operator="equal" showDropDown="false" showErrorMessage="true" showInputMessage="true" sqref="G2:G22 G24:G202" type="list">
      <formula1>"Netherlands,Japan,Sweden,Tunisia"</formula1>
      <formula2>0</formula2>
    </dataValidation>
    <dataValidation allowBlank="false" errorStyle="stop" operator="equal" showDropDown="false" showErrorMessage="true" showInputMessage="true" sqref="H2:H22 H24:H202" type="list">
      <formula1>"Belgium,Egypt,Iran,New Zealand"</formula1>
      <formula2>0</formula2>
    </dataValidation>
    <dataValidation allowBlank="false" errorStyle="stop" operator="equal" showDropDown="false" showErrorMessage="true" showInputMessage="true" sqref="I2:I20 N18 R18 P19 I21:I22 I24:I202" type="list">
      <formula1>"Spain,Cape Verde,Saudi Arabia,Uruguay"</formula1>
      <formula2>0</formula2>
    </dataValidation>
    <dataValidation allowBlank="false" errorStyle="stop" operator="equal" showDropDown="false" showErrorMessage="true" showInputMessage="true" sqref="J2:J20 O18 S18:T18 S19 J21:J22 J24:J202" type="list">
      <formula1>"France,Senegal,Iraq,Norway"</formula1>
      <formula2>0</formula2>
    </dataValidation>
    <dataValidation allowBlank="false" errorStyle="stop" operator="equal" showDropDown="false" showErrorMessage="true" showInputMessage="true" sqref="K2:K19 P18 K20:K22 K24:K32 Q24 Q26 Q28 S28:T28 Q30 O31 K33:K202" type="list">
      <formula1>"Argentina,Algeria,Austria,Jordan"</formula1>
      <formula2>0</formula2>
    </dataValidation>
    <dataValidation allowBlank="false" errorStyle="stop" operator="equal" showDropDown="false" showErrorMessage="true" showInputMessage="true" sqref="L2:L18 N17 L19:L22 L24:L202" type="list">
      <formula1>"Portugal,DR Congo,Uzbekistan,Colombia"</formula1>
      <formula2>0</formula2>
    </dataValidation>
    <dataValidation allowBlank="false" errorStyle="stop" operator="equal" showDropDown="false" showErrorMessage="true" showInputMessage="true" sqref="M2:M19 P3 S3 Q6 N7 R7 T7 Q9 Q13:R13 T13 P16 R16 T16 Q18 M20:M22 M24:M202" type="list">
      <formula1>"England,Croatia,Ghana,Panama"</formula1>
      <formula2>0</formula2>
    </dataValidation>
    <dataValidation allowBlank="false" errorStyle="stop" operator="equal" showDropDown="false" showErrorMessage="true" showInputMessage="true" sqref="N2 N14:N15 N19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O2:O4 R3:R4 T3:T4 O6 S6 Q7:Q8 O9 S9 N12 R12 P13 O14:O15 P15 N16 S16 P17 Q19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P2 N4:N5 P4 N6 N8 S8 N10:N11 R10:R11 Q12 S12 P14:T14 S15:T15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Q2:Q4 N3 O5:P5 R5 O7:P8 S7 R8:R9 N9 T9:T10 O10:O11 Q10:Q11 S10 O12:O13 Q15:R15 O16 Q17:R17 T17 O19 R19 T19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R2 S4:S5 Q5 T5:T6 P6 R6 P9:P12 S11:T11 N13 S13 V13 Q16 O17 S17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S2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T2 T8 T12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U2:U3 AA2 U4:U10" type="list">
      <formula1>"Harry Kane,Kylian Mbappe,Lamine Yamal,Lautaro Martinez,Ollie Watkins,Vinicius Junior,"</formula1>
      <formula2>0</formula2>
    </dataValidation>
    <dataValidation allowBlank="false" errorStyle="stop" operator="equal" showDropDown="false" showErrorMessage="true" showInputMessage="true" sqref="V2:V12 V14:V18 V25 V28" type="list">
      <formula1>"Mexico,South Africa,South Korea,Czechia,Canada,Bosnia &amp; Herzegovina,Qatar,Switzerland,Brazil,Morocca,Haiti,Scotland,USA,Paraguay,Australia,Turkey,Germany,Curacao,Ivory Coast,Ecuador,Netherlands,Japan,Sweden,Tunisia,Belgium,Egypt,Iran,New Zealand,Spain,Cap"</formula1>
      <formula2>0</formula2>
    </dataValidation>
    <dataValidation allowBlank="true" errorStyle="stop" operator="equal" showDropDown="false" showErrorMessage="true" showInputMessage="false" sqref="X2:X202" type="list">
      <formula1>"Y,N"</formula1>
      <formula2>0</formula2>
    </dataValidation>
    <dataValidation allowBlank="false" errorStyle="stop" operator="equal" showDropDown="false" showErrorMessage="true" showInputMessage="true" sqref="U11:U22 U24:U25 U31 U201:U202" type="list">
      <formula1>"Harry Kane,Julian Alvarez,Kylian Mbappe,Lamine Yamal,Lautaro Martinez,Naymer Junior,Ollie Watkins,Vinicius Junior,"</formula1>
      <formula2>0</formula2>
    </dataValidation>
    <dataValidation allowBlank="false" errorStyle="stop" operator="equal" showDropDown="false" showErrorMessage="true" showInputMessage="true" sqref="V19:V22 N20:N22 Q20:R20 T20:T22 O21:S22 N24:P30 R24:T24 V24 Q25:T25 R26:T26 V26:V27 Q27:T27 R28:R31 Q29 S29:T31 V29:V31 N31 P31:Q31 N201:T202 V201:V202" type="list">
      <formula1>"Mexico,South Africa,South Korea,Czechia,Canada,Bosnia &amp; Herzegovina,Qatar,Switzerland,Brazil,Morocco,Haiti,Scotland,USA,Paraguay,Australia,Turkey,Germany,Curacao,Ivory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O20" type="list">
      <formula1>teams</formula1>
      <formula2>0</formula2>
    </dataValidation>
    <dataValidation allowBlank="false" errorStyle="stop" operator="equal" showDropDown="false" showErrorMessage="true" showInputMessage="true" sqref="P20" type="list">
      <formula1>teams</formula1>
      <formula2>0</formula2>
    </dataValidation>
    <dataValidation allowBlank="false" errorStyle="stop" operator="equal" showDropDown="false" showErrorMessage="true" showInputMessage="true" sqref="S20" type="list">
      <formula1>teams</formula1>
      <formula2>0</formula2>
    </dataValidation>
    <dataValidation allowBlank="false" errorStyle="stop" operator="equal" showDropDown="false" showErrorMessage="true" showInputMessage="true" sqref="U26:U30 U32:U200" type="list">
      <formula1>"Harry Kane,Julian Alvarez,Kylian Mbappe,Lamine Yamal,Lautaro Martinez,Michael Olise,Naymer Junior,Ollie Watkins,Vinicius Junior,"</formula1>
      <formula2>0</formula2>
    </dataValidation>
    <dataValidation allowBlank="false" errorStyle="stop" operator="equal" showDropDown="false" showErrorMessage="true" showInputMessage="true" sqref="N32:T37 V32:V37" type="list">
      <formula1>"Mexico,South Africa,South Korea,Czechia,Canada,Bosnia &amp; Herzegovina,Qatar,Switzerland,Brazil,Morocco,Haiti,Scotland,USA,Paraguay,Australia,Turkey,Germany,Curacao,Ivory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N38:T38 V38" type="list">
      <formula1>"Mexico,South Africa,South Korea,Czechia,Canada,Bosnia &amp; Herzegovina,Qatar,Switzerland,Brazil,Morocco,Haiti,Scotland,USA,Paraguay,Australia,Turkey,Germany,Curacao,Ivory Coast,Ecuador,Netherlands,Japan,Sweden,Tunisia,Belgium,Egypt,Iran,New Zealand,Spain,Cap"</formula1>
      <formula2>0</formula2>
    </dataValidation>
    <dataValidation allowBlank="false" errorStyle="stop" operator="equal" showDropDown="false" showErrorMessage="true" showInputMessage="true" sqref="N39:T200 V39:V200" type="list">
      <formula1>teams</formula1>
      <formula2>0</formula2>
    </dataValidation>
    <dataValidation allowBlank="false" errorStyle="stop" operator="equal" showDropDown="false" showErrorMessage="true" showInputMessage="true" sqref="B23:W23" type="none">
      <formula1>0</formula1>
      <formula2>0</formula2>
    </dataValidation>
  </dataValidations>
  <hyperlinks>
    <hyperlink ref="Y2" r:id="rId1" display="https://pay.sumup.com/b2c/X4M5URQIEI"/>
    <hyperlink ref="Y3" r:id="rId2" display="https://pay.sumup.com/b2c/XUVBKRQD4U"/>
    <hyperlink ref="Y4" r:id="rId3" display="https://pay.sumup.com/b2c/XIUR59CS9V"/>
    <hyperlink ref="Y5" r:id="rId4" display="https://pay.sumup.com/b2c/XJ2OG3R9ZY"/>
    <hyperlink ref="Y7" r:id="rId5" display="https://pay.sumup.com/b2c/XVJHXAUHPW"/>
    <hyperlink ref="Y8" r:id="rId6" display="https://pay.sumup.com/b2c/XD4XNCDO4A"/>
    <hyperlink ref="Y9" r:id="rId7" display="https://pay.sumup.com/b2c/X47APG4IKV"/>
    <hyperlink ref="Y10" r:id="rId8" display="https://pay.sumup.com/b2c/XIMFLHNUIF"/>
    <hyperlink ref="Y11" r:id="rId9" display="https://pay.sumup.com/b2c/XBQYQN61Z4"/>
    <hyperlink ref="Y12" r:id="rId10" display="https://pay.sumup.com/b2c/X0FQYKI1YA"/>
    <hyperlink ref="Y13" r:id="rId11" display="https://pay.sumup.com/b2c/XIJCN762DV"/>
    <hyperlink ref="Y14" r:id="rId12" display="https://pay.sumup.com/b2c/XUQLC9VJ3B"/>
    <hyperlink ref="Y15" r:id="rId13" display="https://pay.sumup.com/b2c/XO2JXR9DPY"/>
    <hyperlink ref="Y16" r:id="rId14" display="https://pay.sumup.com/b2c/X9A0WRUQ3U"/>
    <hyperlink ref="Y17" r:id="rId15" display="https://pay.sumup.com/b2c/XKGC50ZSFQ"/>
    <hyperlink ref="Y18" r:id="rId16" display="https://pay.sumup.com/b2c/X77QVLNIMG"/>
    <hyperlink ref="Y19" r:id="rId17" display="https://pay.sumup.com/b2c/X98R3AQQZF"/>
    <hyperlink ref="Y20" r:id="rId18" display="https://pay.sumup.com/b2c/XCGK0NHXHD"/>
    <hyperlink ref="Y21" r:id="rId19" display="https://pay.sumup.com/b2c/XDD6PXHSRS"/>
    <hyperlink ref="Y22" r:id="rId20" display="https://pay.sumup.com/b2c/XDJTC4BQMG"/>
    <hyperlink ref="Y23" r:id="rId21" display="https://pay.sumup.com/b2c/XQ6K8IV83R"/>
    <hyperlink ref="Y24" r:id="rId22" display="https://pay.sumup.com/b2c/X7XMJ3FOP3"/>
    <hyperlink ref="Y25" r:id="rId23" display="https://pay.sumup.com/b2c/X841APLCIR"/>
    <hyperlink ref="Y26" r:id="rId24" display="https://pay.sumup.com/b2c/XRE3HFE7O5"/>
    <hyperlink ref="Y27" r:id="rId25" display="https://pay.sumup.com/b2c/XLVKX1KVGO"/>
    <hyperlink ref="Y28" r:id="rId26" display="https://pay.sumup.com/b2c/XA11GKL7S9"/>
    <hyperlink ref="Y29" r:id="rId27" display="https://pay.sumup.com/b2c/XBUB3SZ21W"/>
    <hyperlink ref="Y30" r:id="rId28" display="https://pay.sumup.com/b2c/X0URRRMLYI"/>
    <hyperlink ref="Y31" r:id="rId29" display="https://pay.sumup.com/b2c/X4O52Y8PEV"/>
    <hyperlink ref="Y32" r:id="rId30" display="https://pay.sumup.com/b2c/XQWR240BR3"/>
    <hyperlink ref="Y33" r:id="rId31" display="https://pay.sumup.com/b2c/XSP9GC1WZR"/>
    <hyperlink ref="Y34" r:id="rId32" display="https://pay.sumup.com/b2c/XLH7VOSPN7"/>
    <hyperlink ref="Y35" r:id="rId33" display="https://pay.sumup.com/b2c/XN5XZOM95H"/>
    <hyperlink ref="Y36" r:id="rId34" display="https://pay.sumup.com/b2c/XL5UJQ2YZC"/>
    <hyperlink ref="Y37" r:id="rId35" display="https://pay.sumup.com/b2c/XGMT7095L4"/>
    <hyperlink ref="Y38" r:id="rId36" display="https://pay.sumup.com/b2c/XWK7EXCO8V"/>
    <hyperlink ref="Y39" r:id="rId37" display="https://pay.sumup.com/b2c/X476O8WK4G"/>
    <hyperlink ref="Y40" r:id="rId38" display="https://pay.sumup.com/b2c/X8TO8U5LS0"/>
    <hyperlink ref="Y41" r:id="rId39" display="https://pay.sumup.com/b2c/X1HLZU5XCT"/>
    <hyperlink ref="Y42" r:id="rId40" display="https://pay.sumup.com/b2c/X1AUMMKITX"/>
  </hyperlinks>
  <printOptions headings="false" gridLines="false" gridLinesSet="true" horizontalCentered="false" verticalCentered="false"/>
  <pageMargins left="0.196527777777778" right="0.196527777777778" top="0.1965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4.37"/>
  </cols>
  <sheetData>
    <row r="1" customFormat="false" ht="15" hidden="false" customHeight="false" outlineLevel="0" collapsed="false">
      <c r="A1" s="1" t="s">
        <v>193</v>
      </c>
      <c r="B1" s="1" t="s">
        <v>194</v>
      </c>
    </row>
    <row r="2" customFormat="false" ht="15" hidden="false" customHeight="false" outlineLevel="0" collapsed="false">
      <c r="A2" s="1" t="s">
        <v>75</v>
      </c>
      <c r="B2" s="21"/>
    </row>
    <row r="3" customFormat="false" ht="15" hidden="false" customHeight="false" outlineLevel="0" collapsed="false">
      <c r="A3" s="1" t="s">
        <v>76</v>
      </c>
      <c r="B3" s="21"/>
    </row>
    <row r="4" customFormat="false" ht="15" hidden="false" customHeight="false" outlineLevel="0" collapsed="false">
      <c r="A4" s="1" t="s">
        <v>77</v>
      </c>
      <c r="B4" s="21"/>
    </row>
    <row r="5" customFormat="false" ht="15" hidden="false" customHeight="false" outlineLevel="0" collapsed="false">
      <c r="A5" s="1" t="s">
        <v>78</v>
      </c>
      <c r="B5" s="21"/>
    </row>
    <row r="6" customFormat="false" ht="15" hidden="false" customHeight="false" outlineLevel="0" collapsed="false">
      <c r="A6" s="1" t="s">
        <v>79</v>
      </c>
      <c r="B6" s="21"/>
    </row>
    <row r="7" customFormat="false" ht="15" hidden="false" customHeight="false" outlineLevel="0" collapsed="false">
      <c r="A7" s="1" t="s">
        <v>80</v>
      </c>
      <c r="B7" s="21"/>
    </row>
    <row r="8" customFormat="false" ht="15" hidden="false" customHeight="false" outlineLevel="0" collapsed="false">
      <c r="A8" s="1" t="s">
        <v>81</v>
      </c>
      <c r="B8" s="21"/>
    </row>
    <row r="9" customFormat="false" ht="15" hidden="false" customHeight="false" outlineLevel="0" collapsed="false">
      <c r="A9" s="1" t="s">
        <v>82</v>
      </c>
      <c r="B9" s="21"/>
    </row>
    <row r="10" customFormat="false" ht="15" hidden="false" customHeight="false" outlineLevel="0" collapsed="false">
      <c r="A10" s="1" t="s">
        <v>83</v>
      </c>
      <c r="B10" s="21"/>
    </row>
    <row r="11" customFormat="false" ht="15" hidden="false" customHeight="false" outlineLevel="0" collapsed="false">
      <c r="A11" s="1" t="s">
        <v>84</v>
      </c>
      <c r="B11" s="21"/>
    </row>
    <row r="12" customFormat="false" ht="15" hidden="false" customHeight="false" outlineLevel="0" collapsed="false">
      <c r="A12" s="1" t="s">
        <v>85</v>
      </c>
      <c r="B12" s="21"/>
    </row>
    <row r="13" customFormat="false" ht="15" hidden="false" customHeight="false" outlineLevel="0" collapsed="false">
      <c r="A13" s="1" t="s">
        <v>86</v>
      </c>
      <c r="B13" s="21"/>
    </row>
    <row r="14" customFormat="false" ht="15" hidden="false" customHeight="false" outlineLevel="0" collapsed="false">
      <c r="A14" s="1" t="s">
        <v>87</v>
      </c>
      <c r="B14" s="21"/>
    </row>
    <row r="15" customFormat="false" ht="15" hidden="false" customHeight="false" outlineLevel="0" collapsed="false">
      <c r="A15" s="1" t="s">
        <v>88</v>
      </c>
      <c r="B15" s="21"/>
    </row>
    <row r="16" customFormat="false" ht="15" hidden="false" customHeight="false" outlineLevel="0" collapsed="false">
      <c r="A16" s="1" t="s">
        <v>89</v>
      </c>
      <c r="B16" s="21"/>
    </row>
    <row r="17" customFormat="false" ht="15" hidden="false" customHeight="false" outlineLevel="0" collapsed="false">
      <c r="A17" s="1" t="s">
        <v>90</v>
      </c>
      <c r="B17" s="21"/>
    </row>
    <row r="18" customFormat="false" ht="15" hidden="false" customHeight="false" outlineLevel="0" collapsed="false">
      <c r="A18" s="1" t="s">
        <v>91</v>
      </c>
      <c r="B18" s="21"/>
    </row>
    <row r="19" customFormat="false" ht="15" hidden="false" customHeight="false" outlineLevel="0" collapsed="false">
      <c r="A19" s="1" t="s">
        <v>92</v>
      </c>
      <c r="B19" s="21"/>
    </row>
    <row r="20" customFormat="false" ht="15" hidden="false" customHeight="false" outlineLevel="0" collapsed="false">
      <c r="A20" s="1" t="s">
        <v>93</v>
      </c>
      <c r="B20" s="21"/>
    </row>
    <row r="21" customFormat="false" ht="15" hidden="false" customHeight="false" outlineLevel="0" collapsed="false">
      <c r="A21" s="1" t="s">
        <v>94</v>
      </c>
    </row>
    <row r="22" customFormat="false" ht="15" hidden="false" customHeight="false" outlineLevel="0" collapsed="false">
      <c r="A22" s="1" t="s">
        <v>95</v>
      </c>
      <c r="B22" s="21" t="s">
        <v>8</v>
      </c>
    </row>
    <row r="23" customFormat="false" ht="15" hidden="false" customHeight="false" outlineLevel="0" collapsed="false">
      <c r="A23" s="1" t="s">
        <v>96</v>
      </c>
      <c r="B23" s="26" t="n">
        <f aca="false">Games!H1</f>
        <v>38</v>
      </c>
    </row>
  </sheetData>
  <dataValidations count="13">
    <dataValidation allowBlank="false" errorStyle="stop" operator="equal" showDropDown="false" showErrorMessage="true" showInputMessage="true" sqref="B2" type="list">
      <formula1>"Mexico,South Africa,South Korea,Czechia"</formula1>
      <formula2>0</formula2>
    </dataValidation>
    <dataValidation allowBlank="false" errorStyle="stop" operator="equal" showDropDown="false" showErrorMessage="true" showInputMessage="true" sqref="B3" type="list">
      <formula1>"Canada,Bosnia &amp; Herzegovina,Qatar,Switzerland"</formula1>
      <formula2>0</formula2>
    </dataValidation>
    <dataValidation allowBlank="false" errorStyle="stop" operator="equal" showDropDown="false" showErrorMessage="true" showInputMessage="true" sqref="B4" type="list">
      <formula1>"Brazil,Morocca,Haiti,Scotland"</formula1>
      <formula2>0</formula2>
    </dataValidation>
    <dataValidation allowBlank="false" errorStyle="stop" operator="equal" showDropDown="false" showErrorMessage="true" showInputMessage="true" sqref="B5" type="list">
      <formula1>"USA,Paraguay,Australia,Turkey"</formula1>
      <formula2>0</formula2>
    </dataValidation>
    <dataValidation allowBlank="false" errorStyle="stop" operator="equal" showDropDown="false" showErrorMessage="true" showInputMessage="true" sqref="B7" type="list">
      <formula1>"Netherlands,Japan,Sweden,Tunisia"</formula1>
      <formula2>0</formula2>
    </dataValidation>
    <dataValidation allowBlank="false" errorStyle="stop" operator="equal" showDropDown="false" showErrorMessage="true" showInputMessage="true" sqref="B10" type="list">
      <formula1>"France,Senegal,Iraq,Norway"</formula1>
      <formula2>0</formula2>
    </dataValidation>
    <dataValidation allowBlank="false" errorStyle="stop" operator="equal" showDropDown="false" showErrorMessage="true" showInputMessage="true" sqref="B12" type="list">
      <formula1>"Portugal,DR Congo,Uzbekistan,Colombia"</formula1>
      <formula2>0</formula2>
    </dataValidation>
    <dataValidation allowBlank="false" errorStyle="stop" operator="equal" showDropDown="false" showErrorMessage="true" showInputMessage="true" sqref="B6" type="list">
      <formula1>"Germany,Curacao,Ivory Coast,Ecuador"</formula1>
      <formula2>0</formula2>
    </dataValidation>
    <dataValidation allowBlank="false" errorStyle="stop" operator="equal" showDropDown="false" showErrorMessage="true" showInputMessage="true" sqref="B8" type="list">
      <formula1>"Belgium,Egypt,Iran,New Zealand"</formula1>
      <formula2>0</formula2>
    </dataValidation>
    <dataValidation allowBlank="false" errorStyle="stop" operator="equal" showDropDown="false" showErrorMessage="true" showInputMessage="true" sqref="B9" type="list">
      <formula1>"Spain,Cape Verde,Saudi Arabia,Uruguay"</formula1>
      <formula2>0</formula2>
    </dataValidation>
    <dataValidation allowBlank="false" errorStyle="stop" operator="equal" showDropDown="false" showErrorMessage="true" showInputMessage="true" sqref="B11" type="list">
      <formula1>"Argentina,Algeria,Austria,Jordan"</formula1>
      <formula2>0</formula2>
    </dataValidation>
    <dataValidation allowBlank="false" errorStyle="stop" operator="equal" showDropDown="false" showErrorMessage="true" showInputMessage="true" sqref="B13" type="list">
      <formula1>"England,Croatia,Ghana,Panama"</formula1>
      <formula2>0</formula2>
    </dataValidation>
    <dataValidation allowBlank="false" errorStyle="stop" operator="equal" showDropDown="false" showErrorMessage="true" showInputMessage="true" sqref="B14:B20 B22" type="list">
      <formula1>teams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6" activeCellId="0" sqref="A6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8.74"/>
    <col collapsed="false" customWidth="false" hidden="false" outlineLevel="0" max="4" min="3" style="1" width="10.16"/>
    <col collapsed="false" customWidth="true" hidden="false" outlineLevel="0" max="6" min="5" style="1" width="15.11"/>
    <col collapsed="false" customWidth="true" hidden="false" outlineLevel="0" max="7" min="7" style="1" width="14.97"/>
    <col collapsed="false" customWidth="true" hidden="false" outlineLevel="0" max="8" min="8" style="1" width="15.23"/>
    <col collapsed="false" customWidth="true" hidden="false" outlineLevel="0" max="10" min="9" style="1" width="14.88"/>
    <col collapsed="false" customWidth="true" hidden="false" outlineLevel="0" max="12" min="11" style="1" width="15.23"/>
    <col collapsed="false" customWidth="true" hidden="false" outlineLevel="0" max="13" min="13" style="1" width="14.5"/>
    <col collapsed="false" customWidth="true" hidden="false" outlineLevel="0" max="14" min="14" style="1" width="14.37"/>
    <col collapsed="false" customWidth="true" hidden="false" outlineLevel="0" max="15" min="15" style="1" width="14.97"/>
    <col collapsed="false" customWidth="true" hidden="false" outlineLevel="0" max="16" min="16" style="1" width="14.88"/>
    <col collapsed="false" customWidth="true" hidden="false" outlineLevel="0" max="17" min="17" style="1" width="13.76"/>
    <col collapsed="false" customWidth="true" hidden="false" outlineLevel="0" max="18" min="18" style="1" width="8.99"/>
    <col collapsed="false" customWidth="true" hidden="false" outlineLevel="0" max="19" min="19" style="1" width="18.42"/>
    <col collapsed="false" customWidth="true" hidden="false" outlineLevel="0" max="20" min="20" style="1" width="18.67"/>
    <col collapsed="false" customWidth="true" hidden="false" outlineLevel="0" max="21" min="21" style="1" width="18.29"/>
    <col collapsed="false" customWidth="false" hidden="false" outlineLevel="0" max="22" min="22" style="1" width="10.16"/>
    <col collapsed="false" customWidth="false" hidden="false" outlineLevel="0" max="16384" min="27" style="1" width="10.16"/>
  </cols>
  <sheetData>
    <row r="1" customFormat="false" ht="15" hidden="false" customHeight="false" outlineLevel="0" collapsed="false">
      <c r="A1" s="1" t="s">
        <v>74</v>
      </c>
      <c r="B1" s="20" t="s">
        <v>70</v>
      </c>
      <c r="C1" s="20"/>
      <c r="E1" s="20" t="s">
        <v>75</v>
      </c>
      <c r="F1" s="20" t="s">
        <v>76</v>
      </c>
      <c r="G1" s="20" t="s">
        <v>77</v>
      </c>
      <c r="H1" s="20" t="s">
        <v>78</v>
      </c>
      <c r="I1" s="20" t="s">
        <v>79</v>
      </c>
      <c r="J1" s="20" t="s">
        <v>80</v>
      </c>
      <c r="K1" s="20" t="s">
        <v>81</v>
      </c>
      <c r="L1" s="20" t="s">
        <v>82</v>
      </c>
      <c r="M1" s="20" t="s">
        <v>83</v>
      </c>
      <c r="N1" s="20" t="s">
        <v>84</v>
      </c>
      <c r="O1" s="20" t="s">
        <v>85</v>
      </c>
      <c r="P1" s="20" t="s">
        <v>86</v>
      </c>
      <c r="Q1" s="20" t="s">
        <v>195</v>
      </c>
      <c r="R1" s="20" t="s">
        <v>196</v>
      </c>
      <c r="S1" s="21" t="s">
        <v>93</v>
      </c>
      <c r="T1" s="21" t="s">
        <v>94</v>
      </c>
      <c r="U1" s="21" t="s">
        <v>95</v>
      </c>
      <c r="V1" s="20" t="s">
        <v>197</v>
      </c>
    </row>
    <row r="2" customFormat="false" ht="15" hidden="false" customHeight="false" outlineLevel="0" collapsed="false">
      <c r="A2" s="26" t="str">
        <f aca="false">Entries!A2</f>
        <v>Gary Bebbington</v>
      </c>
      <c r="B2" s="1" t="n">
        <f aca="false">SUM(E2:U2)</f>
        <v>0</v>
      </c>
      <c r="E2" s="1" t="n">
        <f aca="false">IF(Entries!B2='Correct Answers'!B2,2,0)</f>
        <v>0</v>
      </c>
      <c r="F2" s="1" t="n">
        <f aca="false">IF(Entries!C2='Correct Answers'!B3,2,0)</f>
        <v>0</v>
      </c>
      <c r="G2" s="1" t="n">
        <f aca="false">IF(Entries!D2='Correct Answers'!B4,2,0)</f>
        <v>0</v>
      </c>
      <c r="H2" s="1" t="n">
        <f aca="false">IF(Entries!E2='Correct Answers'!B5,2,0)</f>
        <v>0</v>
      </c>
      <c r="I2" s="1" t="n">
        <f aca="false">IF(Entries!F2='Correct Answers'!B6,2,0)</f>
        <v>0</v>
      </c>
      <c r="J2" s="21" t="n">
        <f aca="false">IF(Entries!G2='Correct Answers'!B7,2,0)</f>
        <v>0</v>
      </c>
      <c r="K2" s="21" t="n">
        <f aca="false">IF(Entries!H2='Correct Answers'!B8,2,0)</f>
        <v>0</v>
      </c>
      <c r="L2" s="21" t="n">
        <f aca="false">IF(Entries!I2='Correct Answers'!B9,2,0)</f>
        <v>0</v>
      </c>
      <c r="M2" s="21" t="n">
        <f aca="false">IF(Entries!J2='Correct Answers'!B10,2,0)</f>
        <v>0</v>
      </c>
      <c r="N2" s="21" t="n">
        <f aca="false">IF(Entries!K2='Correct Answers'!B11,2,0)</f>
        <v>0</v>
      </c>
      <c r="O2" s="21" t="n">
        <f aca="false">IF(Entries!L2='Correct Answers'!B12,2,0)</f>
        <v>0</v>
      </c>
      <c r="P2" s="21" t="n">
        <f aca="false">IF(Entries!M2='Correct Answers'!B13,2,0)</f>
        <v>0</v>
      </c>
      <c r="Q2" s="1" t="n">
        <f aca="false">2*(IF(Entries!N2='Correct Answers'!B14,1,0)+IF(Entries!O2='Correct Answers'!B15,1,0)+IF(Entries!P2='Correct Answers'!B16,1,0)+IF(Entries!Q2='Correct Answers'!B17,1,0))</f>
        <v>0</v>
      </c>
      <c r="R2" s="1" t="n">
        <f aca="false">2*(IF(Entries!R2='Correct Answers'!B18,1,0)+IF(Entries!S2='Correct Answers'!B19,1,0))</f>
        <v>0</v>
      </c>
      <c r="S2" s="21" t="n">
        <f aca="false">IF(Entries!T2='Correct Answers'!B20,2,0)</f>
        <v>0</v>
      </c>
      <c r="T2" s="21" t="n">
        <f aca="false">IF(Entries!U2='Correct Answers'!B21,2,0)</f>
        <v>0</v>
      </c>
      <c r="U2" s="21" t="n">
        <f aca="false">IF(Entries!V2='Correct Answers'!B22,2,0)</f>
        <v>0</v>
      </c>
      <c r="V2" s="21" t="n">
        <f aca="false">Entries!W2-'Correct Answers'!B23</f>
        <v>212</v>
      </c>
    </row>
    <row r="3" customFormat="false" ht="15" hidden="false" customHeight="false" outlineLevel="0" collapsed="false">
      <c r="A3" s="26" t="str">
        <f aca="false">Entries!A3</f>
        <v>Liam Page</v>
      </c>
      <c r="B3" s="1" t="n">
        <f aca="false">SUM(E3:U3)</f>
        <v>0</v>
      </c>
      <c r="E3" s="1" t="n">
        <f aca="false">IF(Entries!B3='Correct Answers'!B2,2,0)</f>
        <v>0</v>
      </c>
      <c r="F3" s="1" t="n">
        <f aca="false">IF(Entries!C3='Correct Answers'!B3,2,0)</f>
        <v>0</v>
      </c>
      <c r="G3" s="1" t="n">
        <f aca="false">IF(Entries!D3='Correct Answers'!B4,2,0)</f>
        <v>0</v>
      </c>
      <c r="H3" s="1" t="n">
        <f aca="false">IF(Entries!E3='Correct Answers'!B5,2,0)</f>
        <v>0</v>
      </c>
      <c r="I3" s="1" t="n">
        <f aca="false">IF(Entries!F3='Correct Answers'!B6,2,0)</f>
        <v>0</v>
      </c>
      <c r="J3" s="21" t="n">
        <f aca="false">IF(Entries!G3='Correct Answers'!B7,2,0)</f>
        <v>0</v>
      </c>
      <c r="K3" s="21" t="n">
        <f aca="false">IF(Entries!H3='Correct Answers'!B8,2,0)</f>
        <v>0</v>
      </c>
      <c r="L3" s="21" t="n">
        <f aca="false">IF(Entries!I3='Correct Answers'!B9,2,0)</f>
        <v>0</v>
      </c>
      <c r="M3" s="21" t="n">
        <f aca="false">IF(Entries!J3='Correct Answers'!B10,2,0)</f>
        <v>0</v>
      </c>
      <c r="N3" s="21" t="n">
        <f aca="false">IF(Entries!K3='Correct Answers'!B11,2,0)</f>
        <v>0</v>
      </c>
      <c r="O3" s="21" t="n">
        <f aca="false">IF(Entries!L3='Correct Answers'!B12,2,0)</f>
        <v>0</v>
      </c>
      <c r="P3" s="21" t="n">
        <f aca="false">IF(Entries!M3='Correct Answers'!B13,2,0)</f>
        <v>0</v>
      </c>
      <c r="Q3" s="1" t="n">
        <f aca="false">2*(IF(Entries!N3='Correct Answers'!B14,1,0)+IF(Entries!O3='Correct Answers'!B15,1,0)+IF(Entries!P3='Correct Answers'!B16,1,0)+IF(Entries!Q3='Correct Answers'!B17,1,0))</f>
        <v>0</v>
      </c>
      <c r="R3" s="1" t="n">
        <f aca="false">2*(IF(Entries!R3='Correct Answers'!B18,1,0)+IF(Entries!S3='Correct Answers'!B19,1,0))</f>
        <v>0</v>
      </c>
      <c r="S3" s="21" t="n">
        <f aca="false">IF(Entries!T3='Correct Answers'!B20,2,0)</f>
        <v>0</v>
      </c>
      <c r="T3" s="21" t="n">
        <f aca="false">IF(Entries!U3='Correct Answers'!B21,2,0)</f>
        <v>0</v>
      </c>
      <c r="U3" s="21" t="n">
        <f aca="false">IF(Entries!V3='Correct Answers'!B22,2,0)</f>
        <v>0</v>
      </c>
      <c r="V3" s="21" t="n">
        <f aca="false">Entries!W3-'Correct Answers'!B23</f>
        <v>12</v>
      </c>
    </row>
    <row r="4" customFormat="false" ht="15" hidden="false" customHeight="false" outlineLevel="0" collapsed="false">
      <c r="A4" s="26" t="str">
        <f aca="false">Entries!A4</f>
        <v>Andy Rutter</v>
      </c>
      <c r="B4" s="1" t="n">
        <f aca="false">SUM(E4:U4)</f>
        <v>0</v>
      </c>
      <c r="E4" s="1" t="n">
        <f aca="false">IF(Entries!B4='Correct Answers'!B2,2,0)</f>
        <v>0</v>
      </c>
      <c r="F4" s="1" t="n">
        <f aca="false">IF(Entries!C4='Correct Answers'!B3,2,0)</f>
        <v>0</v>
      </c>
      <c r="G4" s="1" t="n">
        <f aca="false">IF(Entries!D4='Correct Answers'!B4,2,0)</f>
        <v>0</v>
      </c>
      <c r="H4" s="1" t="n">
        <f aca="false">IF(Entries!E4='Correct Answers'!B5,2,0)</f>
        <v>0</v>
      </c>
      <c r="I4" s="1" t="n">
        <f aca="false">IF(Entries!F4='Correct Answers'!B6,2,0)</f>
        <v>0</v>
      </c>
      <c r="J4" s="21" t="n">
        <f aca="false">IF(Entries!G4='Correct Answers'!B7,2,0)</f>
        <v>0</v>
      </c>
      <c r="K4" s="21" t="n">
        <f aca="false">IF(Entries!H4='Correct Answers'!B8,2,0)</f>
        <v>0</v>
      </c>
      <c r="L4" s="21" t="n">
        <f aca="false">IF(Entries!I4='Correct Answers'!B9,2,0)</f>
        <v>0</v>
      </c>
      <c r="M4" s="21" t="n">
        <f aca="false">IF(Entries!J4='Correct Answers'!B10,2,0)</f>
        <v>0</v>
      </c>
      <c r="N4" s="21" t="n">
        <f aca="false">IF(Entries!K4='Correct Answers'!B11,2,0)</f>
        <v>0</v>
      </c>
      <c r="O4" s="21" t="n">
        <f aca="false">IF(Entries!L4='Correct Answers'!B12,2,0)</f>
        <v>0</v>
      </c>
      <c r="P4" s="21" t="n">
        <f aca="false">IF(Entries!M4='Correct Answers'!B13,2,0)</f>
        <v>0</v>
      </c>
      <c r="Q4" s="1" t="n">
        <f aca="false">2*(IF(Entries!N4='Correct Answers'!B14,1,0)+IF(Entries!O4='Correct Answers'!B15,1,0)+IF(Entries!P4='Correct Answers'!B16,1,0)+IF(Entries!Q4='Correct Answers'!B17,1,0))</f>
        <v>0</v>
      </c>
      <c r="R4" s="1" t="n">
        <f aca="false">2*(IF(Entries!R4='Correct Answers'!B18,1,0)+IF(Entries!S4='Correct Answers'!B19,1,0))</f>
        <v>0</v>
      </c>
      <c r="S4" s="21" t="n">
        <f aca="false">IF(Entries!T4='Correct Answers'!B20,2,0)</f>
        <v>0</v>
      </c>
      <c r="T4" s="21" t="n">
        <f aca="false">IF(Entries!U4='Correct Answers'!B21,2,0)</f>
        <v>0</v>
      </c>
      <c r="U4" s="21" t="n">
        <f aca="false">IF(Entries!V4='Correct Answers'!B22,2,0)</f>
        <v>0</v>
      </c>
      <c r="V4" s="21" t="n">
        <f aca="false">Entries!W4-'Correct Answers'!B23</f>
        <v>271</v>
      </c>
    </row>
    <row r="5" customFormat="false" ht="15" hidden="false" customHeight="false" outlineLevel="0" collapsed="false">
      <c r="A5" s="26" t="str">
        <f aca="false">Entries!A5</f>
        <v>Glyn Davies</v>
      </c>
      <c r="B5" s="1" t="n">
        <f aca="false">SUM(E5:U5)</f>
        <v>2</v>
      </c>
      <c r="E5" s="1" t="n">
        <f aca="false">IF(Entries!B5='Correct Answers'!B2,2,0)</f>
        <v>0</v>
      </c>
      <c r="F5" s="1" t="n">
        <f aca="false">IF(Entries!C5='Correct Answers'!B3,2,0)</f>
        <v>0</v>
      </c>
      <c r="G5" s="1" t="n">
        <f aca="false">IF(Entries!D5='Correct Answers'!B4,2,0)</f>
        <v>0</v>
      </c>
      <c r="H5" s="1" t="n">
        <f aca="false">IF(Entries!E5='Correct Answers'!B5,2,0)</f>
        <v>0</v>
      </c>
      <c r="I5" s="1" t="n">
        <f aca="false">IF(Entries!F5='Correct Answers'!B6,2,0)</f>
        <v>0</v>
      </c>
      <c r="J5" s="21" t="n">
        <f aca="false">IF(Entries!G5='Correct Answers'!B7,2,0)</f>
        <v>0</v>
      </c>
      <c r="K5" s="21" t="n">
        <f aca="false">IF(Entries!H5='Correct Answers'!B8,2,0)</f>
        <v>0</v>
      </c>
      <c r="L5" s="21" t="n">
        <f aca="false">IF(Entries!I5='Correct Answers'!B9,2,0)</f>
        <v>0</v>
      </c>
      <c r="M5" s="21" t="n">
        <f aca="false">IF(Entries!J5='Correct Answers'!B10,2,0)</f>
        <v>0</v>
      </c>
      <c r="N5" s="21" t="n">
        <f aca="false">IF(Entries!K5='Correct Answers'!B11,2,0)</f>
        <v>0</v>
      </c>
      <c r="O5" s="21" t="n">
        <f aca="false">IF(Entries!L5='Correct Answers'!B12,2,0)</f>
        <v>0</v>
      </c>
      <c r="P5" s="21" t="n">
        <f aca="false">IF(Entries!M5='Correct Answers'!B13,2,0)</f>
        <v>0</v>
      </c>
      <c r="Q5" s="1" t="n">
        <f aca="false">2*(IF(Entries!N5='Correct Answers'!B14,1,0)+IF(Entries!O5='Correct Answers'!B15,1,0)+IF(Entries!P5='Correct Answers'!B16,1,0)+IF(Entries!Q5='Correct Answers'!B17,1,0))</f>
        <v>0</v>
      </c>
      <c r="R5" s="1" t="n">
        <f aca="false">2*(IF(Entries!R5='Correct Answers'!B18,1,0)+IF(Entries!S5='Correct Answers'!B19,1,0))</f>
        <v>0</v>
      </c>
      <c r="S5" s="21" t="n">
        <f aca="false">IF(Entries!T5='Correct Answers'!B20,2,0)</f>
        <v>0</v>
      </c>
      <c r="T5" s="21" t="n">
        <f aca="false">IF(Entries!U5='Correct Answers'!B21,2,0)</f>
        <v>0</v>
      </c>
      <c r="U5" s="21" t="n">
        <f aca="false">IF(Entries!V5='Correct Answers'!B22,2,0)</f>
        <v>2</v>
      </c>
      <c r="V5" s="21" t="n">
        <f aca="false">Entries!W5-'Correct Answers'!B23</f>
        <v>167</v>
      </c>
    </row>
    <row r="6" customFormat="false" ht="15" hidden="false" customHeight="false" outlineLevel="0" collapsed="false">
      <c r="A6" s="26" t="str">
        <f aca="false">Entries!A6</f>
        <v>Mr Zee</v>
      </c>
      <c r="B6" s="1" t="n">
        <f aca="false">SUM(E6:U6)</f>
        <v>0</v>
      </c>
      <c r="E6" s="1" t="n">
        <f aca="false">IF(Entries!B6='Correct Answers'!B2,2,0)</f>
        <v>0</v>
      </c>
      <c r="F6" s="1" t="n">
        <f aca="false">IF(Entries!C6='Correct Answers'!B3,2,0)</f>
        <v>0</v>
      </c>
      <c r="G6" s="1" t="n">
        <f aca="false">IF(Entries!D6='Correct Answers'!B4,2,0)</f>
        <v>0</v>
      </c>
      <c r="H6" s="1" t="n">
        <f aca="false">IF(Entries!E6='Correct Answers'!B5,2,0)</f>
        <v>0</v>
      </c>
      <c r="I6" s="1" t="n">
        <f aca="false">IF(Entries!F6='Correct Answers'!B6,2,0)</f>
        <v>0</v>
      </c>
      <c r="J6" s="21" t="n">
        <f aca="false">IF(Entries!G6='Correct Answers'!B7,2,0)</f>
        <v>0</v>
      </c>
      <c r="K6" s="21" t="n">
        <f aca="false">IF(Entries!H6='Correct Answers'!B8,2,0)</f>
        <v>0</v>
      </c>
      <c r="L6" s="21" t="n">
        <f aca="false">IF(Entries!I6='Correct Answers'!B9,2,0)</f>
        <v>0</v>
      </c>
      <c r="M6" s="21" t="n">
        <f aca="false">IF(Entries!J6='Correct Answers'!B10,2,0)</f>
        <v>0</v>
      </c>
      <c r="N6" s="21" t="n">
        <f aca="false">IF(Entries!K6='Correct Answers'!B11,2,0)</f>
        <v>0</v>
      </c>
      <c r="O6" s="21" t="n">
        <f aca="false">IF(Entries!L6='Correct Answers'!B12,2,0)</f>
        <v>0</v>
      </c>
      <c r="P6" s="21" t="n">
        <f aca="false">IF(Entries!M6='Correct Answers'!B13,2,0)</f>
        <v>0</v>
      </c>
      <c r="Q6" s="1" t="n">
        <f aca="false">2*(IF(Entries!N6='Correct Answers'!B14,1,0)+IF(Entries!O6='Correct Answers'!B15,1,0)+IF(Entries!P6='Correct Answers'!B16,1,0)+IF(Entries!Q6='Correct Answers'!B17,1,0))</f>
        <v>0</v>
      </c>
      <c r="R6" s="1" t="n">
        <f aca="false">2*(IF(Entries!R6='Correct Answers'!B18,1,0)+IF(Entries!S6='Correct Answers'!B19,1,0))</f>
        <v>0</v>
      </c>
      <c r="S6" s="21" t="n">
        <f aca="false">IF(Entries!T6='Correct Answers'!B20,2,0)</f>
        <v>0</v>
      </c>
      <c r="T6" s="21" t="n">
        <f aca="false">IF(Entries!U6='Correct Answers'!B21,2,0)</f>
        <v>0</v>
      </c>
      <c r="U6" s="21" t="n">
        <f aca="false">IF(Entries!V6='Correct Answers'!B22,2,0)</f>
        <v>0</v>
      </c>
      <c r="V6" s="21" t="n">
        <f aca="false">Entries!W6-'Correct Answers'!B23</f>
        <v>61</v>
      </c>
    </row>
    <row r="7" customFormat="false" ht="15" hidden="false" customHeight="false" outlineLevel="0" collapsed="false">
      <c r="A7" s="26" t="str">
        <f aca="false">Entries!A7</f>
        <v>Darren Moore</v>
      </c>
      <c r="B7" s="1" t="n">
        <f aca="false">SUM(E7:U7)</f>
        <v>0</v>
      </c>
      <c r="E7" s="1" t="n">
        <f aca="false">IF(Entries!B7='Correct Answers'!B2,2,0)</f>
        <v>0</v>
      </c>
      <c r="F7" s="1" t="n">
        <f aca="false">IF(Entries!C7='Correct Answers'!B3,2,0)</f>
        <v>0</v>
      </c>
      <c r="G7" s="1" t="n">
        <f aca="false">IF(Entries!D7='Correct Answers'!B4,2,0)</f>
        <v>0</v>
      </c>
      <c r="H7" s="1" t="n">
        <f aca="false">IF(Entries!E7='Correct Answers'!B5,2,0)</f>
        <v>0</v>
      </c>
      <c r="I7" s="1" t="n">
        <f aca="false">IF(Entries!F7='Correct Answers'!B6,2,0)</f>
        <v>0</v>
      </c>
      <c r="J7" s="21" t="n">
        <f aca="false">IF(Entries!G7='Correct Answers'!B7,2,0)</f>
        <v>0</v>
      </c>
      <c r="K7" s="21" t="n">
        <f aca="false">IF(Entries!H7='Correct Answers'!B8,2,0)</f>
        <v>0</v>
      </c>
      <c r="L7" s="21" t="n">
        <f aca="false">IF(Entries!I7='Correct Answers'!B9,2,0)</f>
        <v>0</v>
      </c>
      <c r="M7" s="21" t="n">
        <f aca="false">IF(Entries!J7='Correct Answers'!B10,2,0)</f>
        <v>0</v>
      </c>
      <c r="N7" s="21" t="n">
        <f aca="false">IF(Entries!K7='Correct Answers'!B11,2,0)</f>
        <v>0</v>
      </c>
      <c r="O7" s="21" t="n">
        <f aca="false">IF(Entries!L7='Correct Answers'!B12,2,0)</f>
        <v>0</v>
      </c>
      <c r="P7" s="21" t="n">
        <f aca="false">IF(Entries!M7='Correct Answers'!B13,2,0)</f>
        <v>0</v>
      </c>
      <c r="Q7" s="1" t="n">
        <f aca="false">2*(IF(Entries!N7='Correct Answers'!B14,1,0)+IF(Entries!O7='Correct Answers'!B15,1,0)+IF(Entries!P7='Correct Answers'!B16,1,0)+IF(Entries!Q7='Correct Answers'!B17,1,0))</f>
        <v>0</v>
      </c>
      <c r="R7" s="1" t="n">
        <f aca="false">2*(IF(Entries!R7='Correct Answers'!B18,1,0)+IF(Entries!S7='Correct Answers'!B19,1,0))</f>
        <v>0</v>
      </c>
      <c r="S7" s="21" t="n">
        <f aca="false">IF(Entries!T7='Correct Answers'!B20,2,0)</f>
        <v>0</v>
      </c>
      <c r="T7" s="21" t="n">
        <f aca="false">IF(Entries!U7='Correct Answers'!B21,2,0)</f>
        <v>0</v>
      </c>
      <c r="U7" s="21" t="n">
        <f aca="false">IF(Entries!V7='Correct Answers'!B22,2,0)</f>
        <v>0</v>
      </c>
      <c r="V7" s="21" t="n">
        <f aca="false">Entries!W7-'Correct Answers'!B23</f>
        <v>197</v>
      </c>
    </row>
    <row r="8" customFormat="false" ht="15" hidden="false" customHeight="false" outlineLevel="0" collapsed="false">
      <c r="A8" s="26" t="str">
        <f aca="false">Entries!A8</f>
        <v>Andrew Lee</v>
      </c>
      <c r="B8" s="1" t="n">
        <f aca="false">SUM(E8:U8)</f>
        <v>2</v>
      </c>
      <c r="E8" s="1" t="n">
        <f aca="false">IF(Entries!B8='Correct Answers'!B2,2,0)</f>
        <v>0</v>
      </c>
      <c r="F8" s="1" t="n">
        <f aca="false">IF(Entries!C8='Correct Answers'!B3,2,0)</f>
        <v>0</v>
      </c>
      <c r="G8" s="1" t="n">
        <f aca="false">IF(Entries!D8='Correct Answers'!B4,2,0)</f>
        <v>0</v>
      </c>
      <c r="H8" s="1" t="n">
        <f aca="false">IF(Entries!E8='Correct Answers'!B5,2,0)</f>
        <v>0</v>
      </c>
      <c r="I8" s="1" t="n">
        <f aca="false">IF(Entries!F8='Correct Answers'!B6,2,0)</f>
        <v>0</v>
      </c>
      <c r="J8" s="21" t="n">
        <f aca="false">IF(Entries!G8='Correct Answers'!B7,2,0)</f>
        <v>0</v>
      </c>
      <c r="K8" s="21" t="n">
        <f aca="false">IF(Entries!H8='Correct Answers'!B8,2,0)</f>
        <v>0</v>
      </c>
      <c r="L8" s="21" t="n">
        <f aca="false">IF(Entries!I8='Correct Answers'!B9,2,0)</f>
        <v>0</v>
      </c>
      <c r="M8" s="21" t="n">
        <f aca="false">IF(Entries!J8='Correct Answers'!B10,2,0)</f>
        <v>0</v>
      </c>
      <c r="N8" s="21" t="n">
        <f aca="false">IF(Entries!K8='Correct Answers'!B11,2,0)</f>
        <v>0</v>
      </c>
      <c r="O8" s="21" t="n">
        <f aca="false">IF(Entries!L8='Correct Answers'!B12,2,0)</f>
        <v>0</v>
      </c>
      <c r="P8" s="21" t="n">
        <f aca="false">IF(Entries!M8='Correct Answers'!B13,2,0)</f>
        <v>0</v>
      </c>
      <c r="Q8" s="1" t="n">
        <f aca="false">2*(IF(Entries!N8='Correct Answers'!B14,1,0)+IF(Entries!O8='Correct Answers'!B15,1,0)+IF(Entries!P8='Correct Answers'!B16,1,0)+IF(Entries!Q8='Correct Answers'!B17,1,0))</f>
        <v>0</v>
      </c>
      <c r="R8" s="1" t="n">
        <f aca="false">2*(IF(Entries!R8='Correct Answers'!B18,1,0)+IF(Entries!S8='Correct Answers'!B19,1,0))</f>
        <v>0</v>
      </c>
      <c r="S8" s="21" t="n">
        <f aca="false">IF(Entries!T8='Correct Answers'!B20,2,0)</f>
        <v>0</v>
      </c>
      <c r="T8" s="21" t="n">
        <f aca="false">IF(Entries!U8='Correct Answers'!B21,2,0)</f>
        <v>0</v>
      </c>
      <c r="U8" s="21" t="n">
        <f aca="false">IF(Entries!V8='Correct Answers'!B22,2,0)</f>
        <v>2</v>
      </c>
      <c r="V8" s="21" t="n">
        <f aca="false">Entries!W8-'Correct Answers'!B23</f>
        <v>135</v>
      </c>
    </row>
    <row r="9" customFormat="false" ht="15" hidden="false" customHeight="false" outlineLevel="0" collapsed="false">
      <c r="A9" s="26" t="str">
        <f aca="false">Entries!A9</f>
        <v>Claire Doughty</v>
      </c>
      <c r="B9" s="1" t="n">
        <f aca="false">SUM(E9:U9)</f>
        <v>2</v>
      </c>
      <c r="E9" s="1" t="n">
        <f aca="false">IF(Entries!B9='Correct Answers'!B2,2,0)</f>
        <v>0</v>
      </c>
      <c r="F9" s="1" t="n">
        <f aca="false">IF(Entries!C9='Correct Answers'!B3,2,0)</f>
        <v>0</v>
      </c>
      <c r="G9" s="1" t="n">
        <f aca="false">IF(Entries!D9='Correct Answers'!B4,2,0)</f>
        <v>0</v>
      </c>
      <c r="H9" s="1" t="n">
        <f aca="false">IF(Entries!E9='Correct Answers'!B5,2,0)</f>
        <v>0</v>
      </c>
      <c r="I9" s="1" t="n">
        <f aca="false">IF(Entries!F9='Correct Answers'!B6,2,0)</f>
        <v>0</v>
      </c>
      <c r="J9" s="21" t="n">
        <f aca="false">IF(Entries!G9='Correct Answers'!B7,2,0)</f>
        <v>0</v>
      </c>
      <c r="K9" s="21" t="n">
        <f aca="false">IF(Entries!H9='Correct Answers'!B8,2,0)</f>
        <v>0</v>
      </c>
      <c r="L9" s="21" t="n">
        <f aca="false">IF(Entries!I9='Correct Answers'!B9,2,0)</f>
        <v>0</v>
      </c>
      <c r="M9" s="21" t="n">
        <f aca="false">IF(Entries!J9='Correct Answers'!B10,2,0)</f>
        <v>0</v>
      </c>
      <c r="N9" s="21" t="n">
        <f aca="false">IF(Entries!K9='Correct Answers'!B11,2,0)</f>
        <v>0</v>
      </c>
      <c r="O9" s="21" t="n">
        <f aca="false">IF(Entries!L9='Correct Answers'!B12,2,0)</f>
        <v>0</v>
      </c>
      <c r="P9" s="21" t="n">
        <f aca="false">IF(Entries!M9='Correct Answers'!B13,2,0)</f>
        <v>0</v>
      </c>
      <c r="Q9" s="1" t="n">
        <f aca="false">2*(IF(Entries!N9='Correct Answers'!B14,1,0)+IF(Entries!O9='Correct Answers'!B15,1,0)+IF(Entries!P9='Correct Answers'!B16,1,0)+IF(Entries!Q9='Correct Answers'!B17,1,0))</f>
        <v>0</v>
      </c>
      <c r="R9" s="1" t="n">
        <f aca="false">2*(IF(Entries!R9='Correct Answers'!B18,1,0)+IF(Entries!S9='Correct Answers'!B19,1,0))</f>
        <v>0</v>
      </c>
      <c r="S9" s="21" t="n">
        <f aca="false">IF(Entries!T9='Correct Answers'!B20,2,0)</f>
        <v>0</v>
      </c>
      <c r="T9" s="21" t="n">
        <f aca="false">IF(Entries!U9='Correct Answers'!B21,2,0)</f>
        <v>0</v>
      </c>
      <c r="U9" s="21" t="n">
        <f aca="false">IF(Entries!V9='Correct Answers'!B22,2,0)</f>
        <v>2</v>
      </c>
      <c r="V9" s="21" t="n">
        <f aca="false">Entries!W9-'Correct Answers'!B23</f>
        <v>264</v>
      </c>
    </row>
    <row r="10" customFormat="false" ht="15" hidden="false" customHeight="false" outlineLevel="0" collapsed="false">
      <c r="A10" s="26" t="str">
        <f aca="false">Entries!A10</f>
        <v>Andrew Hayes</v>
      </c>
      <c r="B10" s="1" t="n">
        <f aca="false">SUM(E10:U10)</f>
        <v>0</v>
      </c>
      <c r="E10" s="1" t="n">
        <f aca="false">IF(Entries!B10='Correct Answers'!B2,2,0)</f>
        <v>0</v>
      </c>
      <c r="F10" s="1" t="n">
        <f aca="false">IF(Entries!C10='Correct Answers'!B3,2,0)</f>
        <v>0</v>
      </c>
      <c r="G10" s="1" t="n">
        <f aca="false">IF(Entries!D10='Correct Answers'!B4,2,0)</f>
        <v>0</v>
      </c>
      <c r="H10" s="1" t="n">
        <f aca="false">IF(Entries!E10='Correct Answers'!B5,2,0)</f>
        <v>0</v>
      </c>
      <c r="I10" s="1" t="n">
        <f aca="false">IF(Entries!F10='Correct Answers'!B6,2,0)</f>
        <v>0</v>
      </c>
      <c r="J10" s="21" t="n">
        <f aca="false">IF(Entries!G10='Correct Answers'!B7,2,0)</f>
        <v>0</v>
      </c>
      <c r="K10" s="21" t="n">
        <f aca="false">IF(Entries!H10='Correct Answers'!B8,2,0)</f>
        <v>0</v>
      </c>
      <c r="L10" s="21" t="n">
        <f aca="false">IF(Entries!I10='Correct Answers'!B9,2,0)</f>
        <v>0</v>
      </c>
      <c r="M10" s="21" t="n">
        <f aca="false">IF(Entries!J10='Correct Answers'!B10,2,0)</f>
        <v>0</v>
      </c>
      <c r="N10" s="21" t="n">
        <f aca="false">IF(Entries!K10='Correct Answers'!B11,2,0)</f>
        <v>0</v>
      </c>
      <c r="O10" s="21" t="n">
        <f aca="false">IF(Entries!L10='Correct Answers'!B12,2,0)</f>
        <v>0</v>
      </c>
      <c r="P10" s="21" t="n">
        <f aca="false">IF(Entries!M10='Correct Answers'!B13,2,0)</f>
        <v>0</v>
      </c>
      <c r="Q10" s="1" t="n">
        <f aca="false">2*(IF(Entries!N10='Correct Answers'!B14,1,0)+IF(Entries!O10='Correct Answers'!B15,1,0)+IF(Entries!P10='Correct Answers'!B16,1,0)+IF(Entries!Q10='Correct Answers'!B17,1,0))</f>
        <v>0</v>
      </c>
      <c r="R10" s="1" t="n">
        <f aca="false">2*(IF(Entries!R10='Correct Answers'!B18,1,0)+IF(Entries!S10='Correct Answers'!B19,1,0))</f>
        <v>0</v>
      </c>
      <c r="S10" s="21" t="n">
        <f aca="false">IF(Entries!T10='Correct Answers'!B20,2,0)</f>
        <v>0</v>
      </c>
      <c r="T10" s="21" t="n">
        <f aca="false">IF(Entries!U10='Correct Answers'!B21,2,0)</f>
        <v>0</v>
      </c>
      <c r="U10" s="21" t="n">
        <f aca="false">IF(Entries!V10='Correct Answers'!B22,2,0)</f>
        <v>0</v>
      </c>
      <c r="V10" s="21" t="n">
        <f aca="false">Entries!W10-'Correct Answers'!B23</f>
        <v>197</v>
      </c>
    </row>
    <row r="11" customFormat="false" ht="15" hidden="false" customHeight="false" outlineLevel="0" collapsed="false">
      <c r="A11" s="26" t="str">
        <f aca="false">Entries!A11</f>
        <v>Lindsay Berry</v>
      </c>
      <c r="B11" s="1" t="n">
        <f aca="false">SUM(E11:U11)</f>
        <v>0</v>
      </c>
      <c r="E11" s="1" t="n">
        <f aca="false">IF(Entries!B11='Correct Answers'!B2,2,0)</f>
        <v>0</v>
      </c>
      <c r="F11" s="1" t="n">
        <f aca="false">IF(Entries!C11='Correct Answers'!B3,2,0)</f>
        <v>0</v>
      </c>
      <c r="G11" s="1" t="n">
        <f aca="false">IF(Entries!D11='Correct Answers'!B4,2,0)</f>
        <v>0</v>
      </c>
      <c r="H11" s="1" t="n">
        <f aca="false">IF(Entries!E11='Correct Answers'!B5,2,0)</f>
        <v>0</v>
      </c>
      <c r="I11" s="1" t="n">
        <f aca="false">IF(Entries!F11='Correct Answers'!B6,2,0)</f>
        <v>0</v>
      </c>
      <c r="J11" s="21" t="n">
        <f aca="false">IF(Entries!G11='Correct Answers'!B7,2,0)</f>
        <v>0</v>
      </c>
      <c r="K11" s="21" t="n">
        <f aca="false">IF(Entries!H11='Correct Answers'!B8,2,0)</f>
        <v>0</v>
      </c>
      <c r="L11" s="21" t="n">
        <f aca="false">IF(Entries!I11='Correct Answers'!B9,2,0)</f>
        <v>0</v>
      </c>
      <c r="M11" s="21" t="n">
        <f aca="false">IF(Entries!J11='Correct Answers'!B10,2,0)</f>
        <v>0</v>
      </c>
      <c r="N11" s="21" t="n">
        <f aca="false">IF(Entries!K11='Correct Answers'!B11,2,0)</f>
        <v>0</v>
      </c>
      <c r="O11" s="21" t="n">
        <f aca="false">IF(Entries!L11='Correct Answers'!B12,2,0)</f>
        <v>0</v>
      </c>
      <c r="P11" s="21" t="n">
        <f aca="false">IF(Entries!M11='Correct Answers'!B13,2,0)</f>
        <v>0</v>
      </c>
      <c r="Q11" s="1" t="n">
        <f aca="false">2*(IF(Entries!N11='Correct Answers'!B14,1,0)+IF(Entries!O11='Correct Answers'!B15,1,0)+IF(Entries!P11='Correct Answers'!B16,1,0)+IF(Entries!Q11='Correct Answers'!B17,1,0))</f>
        <v>0</v>
      </c>
      <c r="R11" s="1" t="n">
        <f aca="false">2*(IF(Entries!R11='Correct Answers'!B18,1,0)+IF(Entries!S11='Correct Answers'!B19,1,0))</f>
        <v>0</v>
      </c>
      <c r="S11" s="21" t="n">
        <f aca="false">IF(Entries!T11='Correct Answers'!B20,2,0)</f>
        <v>0</v>
      </c>
      <c r="T11" s="21" t="n">
        <f aca="false">IF(Entries!U11='Correct Answers'!B21,2,0)</f>
        <v>0</v>
      </c>
      <c r="U11" s="21" t="n">
        <f aca="false">IF(Entries!V11='Correct Answers'!B22,2,0)</f>
        <v>0</v>
      </c>
      <c r="V11" s="21" t="n">
        <f aca="false">Entries!W11-'Correct Answers'!B23</f>
        <v>247</v>
      </c>
    </row>
    <row r="12" customFormat="false" ht="15" hidden="false" customHeight="false" outlineLevel="0" collapsed="false">
      <c r="A12" s="26" t="str">
        <f aca="false">Entries!A12</f>
        <v>Derek Clayton</v>
      </c>
      <c r="B12" s="1" t="n">
        <f aca="false">SUM(E12:U12)</f>
        <v>0</v>
      </c>
      <c r="E12" s="1" t="n">
        <f aca="false">IF(Entries!B12='Correct Answers'!B2,2,0)</f>
        <v>0</v>
      </c>
      <c r="F12" s="1" t="n">
        <f aca="false">IF(Entries!C12='Correct Answers'!B3,2,0)</f>
        <v>0</v>
      </c>
      <c r="G12" s="1" t="n">
        <f aca="false">IF(Entries!D12='Correct Answers'!B4,2,0)</f>
        <v>0</v>
      </c>
      <c r="H12" s="1" t="n">
        <f aca="false">IF(Entries!E12='Correct Answers'!B5,2,0)</f>
        <v>0</v>
      </c>
      <c r="I12" s="1" t="n">
        <f aca="false">IF(Entries!F12='Correct Answers'!B6,2,0)</f>
        <v>0</v>
      </c>
      <c r="J12" s="21" t="n">
        <f aca="false">IF(Entries!G12='Correct Answers'!B7,2,0)</f>
        <v>0</v>
      </c>
      <c r="K12" s="21" t="n">
        <f aca="false">IF(Entries!H12='Correct Answers'!B8,2,0)</f>
        <v>0</v>
      </c>
      <c r="L12" s="21" t="n">
        <f aca="false">IF(Entries!I12='Correct Answers'!B9,2,0)</f>
        <v>0</v>
      </c>
      <c r="M12" s="21" t="n">
        <f aca="false">IF(Entries!J12='Correct Answers'!B10,2,0)</f>
        <v>0</v>
      </c>
      <c r="N12" s="21" t="n">
        <f aca="false">IF(Entries!K12='Correct Answers'!B11,2,0)</f>
        <v>0</v>
      </c>
      <c r="O12" s="21" t="n">
        <f aca="false">IF(Entries!L12='Correct Answers'!B12,2,0)</f>
        <v>0</v>
      </c>
      <c r="P12" s="21" t="n">
        <f aca="false">IF(Entries!M12='Correct Answers'!B13,2,0)</f>
        <v>0</v>
      </c>
      <c r="Q12" s="1" t="n">
        <f aca="false">2*(IF(Entries!N12='Correct Answers'!B14,1,0)+IF(Entries!O12='Correct Answers'!B15,1,0)+IF(Entries!P12='Correct Answers'!B16,1,0)+IF(Entries!Q12='Correct Answers'!B17,1,0))</f>
        <v>0</v>
      </c>
      <c r="R12" s="1" t="n">
        <f aca="false">2*(IF(Entries!R12='Correct Answers'!B18,1,0)+IF(Entries!S12='Correct Answers'!B19,1,0))</f>
        <v>0</v>
      </c>
      <c r="S12" s="21" t="n">
        <f aca="false">IF(Entries!T12='Correct Answers'!B20,2,0)</f>
        <v>0</v>
      </c>
      <c r="T12" s="21" t="n">
        <f aca="false">IF(Entries!U12='Correct Answers'!B21,2,0)</f>
        <v>0</v>
      </c>
      <c r="U12" s="21" t="n">
        <f aca="false">IF(Entries!V12='Correct Answers'!B22,2,0)</f>
        <v>0</v>
      </c>
      <c r="V12" s="21" t="n">
        <f aca="false">Entries!W12-'Correct Answers'!B23</f>
        <v>312</v>
      </c>
    </row>
    <row r="13" customFormat="false" ht="15" hidden="false" customHeight="false" outlineLevel="0" collapsed="false">
      <c r="A13" s="26" t="str">
        <f aca="false">Entries!A13</f>
        <v>Sophie Hayes</v>
      </c>
      <c r="B13" s="1" t="n">
        <f aca="false">SUM(E13:U13)</f>
        <v>0</v>
      </c>
      <c r="E13" s="1" t="n">
        <f aca="false">IF(Entries!B13='Correct Answers'!B2,2,0)</f>
        <v>0</v>
      </c>
      <c r="F13" s="1" t="n">
        <f aca="false">IF(Entries!C13='Correct Answers'!B3,2,0)</f>
        <v>0</v>
      </c>
      <c r="G13" s="1" t="n">
        <f aca="false">IF(Entries!D13='Correct Answers'!B4,2,0)</f>
        <v>0</v>
      </c>
      <c r="H13" s="1" t="n">
        <f aca="false">IF(Entries!E13='Correct Answers'!B5,2,0)</f>
        <v>0</v>
      </c>
      <c r="I13" s="1" t="n">
        <f aca="false">IF(Entries!F13='Correct Answers'!B6,2,0)</f>
        <v>0</v>
      </c>
      <c r="J13" s="21" t="n">
        <f aca="false">IF(Entries!G13='Correct Answers'!B7,2,0)</f>
        <v>0</v>
      </c>
      <c r="K13" s="21" t="n">
        <f aca="false">IF(Entries!H13='Correct Answers'!B8,2,0)</f>
        <v>0</v>
      </c>
      <c r="L13" s="21" t="n">
        <f aca="false">IF(Entries!I13='Correct Answers'!B9,2,0)</f>
        <v>0</v>
      </c>
      <c r="M13" s="21" t="n">
        <f aca="false">IF(Entries!J13='Correct Answers'!B10,2,0)</f>
        <v>0</v>
      </c>
      <c r="N13" s="21" t="n">
        <f aca="false">IF(Entries!K13='Correct Answers'!B11,2,0)</f>
        <v>0</v>
      </c>
      <c r="O13" s="21" t="n">
        <f aca="false">IF(Entries!L13='Correct Answers'!B12,2,0)</f>
        <v>0</v>
      </c>
      <c r="P13" s="21" t="n">
        <f aca="false">IF(Entries!M13='Correct Answers'!B13,2,0)</f>
        <v>0</v>
      </c>
      <c r="Q13" s="1" t="n">
        <f aca="false">2*(IF(Entries!N13='Correct Answers'!B14,1,0)+IF(Entries!O13='Correct Answers'!B15,1,0)+IF(Entries!P13='Correct Answers'!B16,1,0)+IF(Entries!Q13='Correct Answers'!B17,1,0))</f>
        <v>0</v>
      </c>
      <c r="R13" s="1" t="n">
        <f aca="false">2*(IF(Entries!R13='Correct Answers'!B18,1,0)+IF(Entries!S13='Correct Answers'!B19,1,0))</f>
        <v>0</v>
      </c>
      <c r="S13" s="21" t="n">
        <f aca="false">IF(Entries!T13='Correct Answers'!B20,2,0)</f>
        <v>0</v>
      </c>
      <c r="T13" s="21" t="n">
        <f aca="false">IF(Entries!U13='Correct Answers'!B21,2,0)</f>
        <v>0</v>
      </c>
      <c r="U13" s="21" t="n">
        <f aca="false">IF(Entries!V13='Correct Answers'!B22,2,0)</f>
        <v>0</v>
      </c>
      <c r="V13" s="21" t="n">
        <f aca="false">Entries!W13-'Correct Answers'!B23</f>
        <v>142</v>
      </c>
    </row>
    <row r="14" customFormat="false" ht="15" hidden="false" customHeight="false" outlineLevel="0" collapsed="false">
      <c r="A14" s="26" t="str">
        <f aca="false">Entries!A14</f>
        <v>Colin Kudrycz</v>
      </c>
      <c r="B14" s="1" t="n">
        <f aca="false">SUM(E14:U14)</f>
        <v>0</v>
      </c>
      <c r="E14" s="1" t="n">
        <f aca="false">IF(Entries!B14='Correct Answers'!B2,2,0)</f>
        <v>0</v>
      </c>
      <c r="F14" s="1" t="n">
        <f aca="false">IF(Entries!C14='Correct Answers'!B32,2,0)</f>
        <v>0</v>
      </c>
      <c r="G14" s="1" t="n">
        <f aca="false">IF(Entries!D14='Correct Answers'!B4,2,0)</f>
        <v>0</v>
      </c>
      <c r="H14" s="1" t="n">
        <f aca="false">IF(Entries!E14='Correct Answers'!B5,2,0)</f>
        <v>0</v>
      </c>
      <c r="I14" s="1" t="n">
        <f aca="false">IF(Entries!F14='Correct Answers'!B6,2,0)</f>
        <v>0</v>
      </c>
      <c r="J14" s="21" t="n">
        <f aca="false">IF(Entries!G14='Correct Answers'!B7,2,0)</f>
        <v>0</v>
      </c>
      <c r="K14" s="21" t="n">
        <f aca="false">IF(Entries!H14='Correct Answers'!B8,2,0)</f>
        <v>0</v>
      </c>
      <c r="L14" s="21" t="n">
        <f aca="false">IF(Entries!I14='Correct Answers'!B9,2,0)</f>
        <v>0</v>
      </c>
      <c r="M14" s="21" t="n">
        <f aca="false">IF(Entries!J14='Correct Answers'!B10,2,0)</f>
        <v>0</v>
      </c>
      <c r="N14" s="21" t="n">
        <f aca="false">IF(Entries!K14='Correct Answers'!B11,2,0)</f>
        <v>0</v>
      </c>
      <c r="O14" s="21" t="n">
        <f aca="false">IF(Entries!L14='Correct Answers'!B12,2,0)</f>
        <v>0</v>
      </c>
      <c r="P14" s="21" t="n">
        <f aca="false">IF(Entries!M14='Correct Answers'!B13,2,0)</f>
        <v>0</v>
      </c>
      <c r="Q14" s="1" t="n">
        <f aca="false">2*(IF(Entries!N14='Correct Answers'!B14,1,0)+IF(Entries!O14='Correct Answers'!B15,1,0)+IF(Entries!P14='Correct Answers'!B16,1,0)+IF(Entries!Q14='Correct Answers'!B17,1,0))</f>
        <v>0</v>
      </c>
      <c r="R14" s="1" t="n">
        <f aca="false">2*(IF(Entries!R14='Correct Answers'!B18,1,0)+IF(Entries!S14='Correct Answers'!B19,1,0))</f>
        <v>0</v>
      </c>
      <c r="S14" s="21" t="n">
        <f aca="false">IF(Entries!T14='Correct Answers'!B20,2,0)</f>
        <v>0</v>
      </c>
      <c r="T14" s="21" t="n">
        <f aca="false">IF(Entries!U14='Correct Answers'!B21,2,0)</f>
        <v>0</v>
      </c>
      <c r="U14" s="21" t="n">
        <f aca="false">IF(Entries!V14='Correct Answers'!B22,2,0)</f>
        <v>0</v>
      </c>
      <c r="V14" s="21" t="n">
        <f aca="false">Entries!W14-'Correct Answers'!B23</f>
        <v>182</v>
      </c>
    </row>
    <row r="15" customFormat="false" ht="15" hidden="false" customHeight="false" outlineLevel="0" collapsed="false">
      <c r="A15" s="26" t="str">
        <f aca="false">Entries!A15</f>
        <v>Paul Roberts</v>
      </c>
      <c r="B15" s="1" t="n">
        <f aca="false">SUM(E15:U15)</f>
        <v>2</v>
      </c>
      <c r="E15" s="1" t="n">
        <f aca="false">IF(Entries!B15='Correct Answers'!B2,2,0)</f>
        <v>0</v>
      </c>
      <c r="F15" s="1" t="n">
        <f aca="false">IF(Entries!C15='Correct Answers'!B3,2,0)</f>
        <v>0</v>
      </c>
      <c r="G15" s="1" t="n">
        <f aca="false">IF(Entries!D15='Correct Answers'!B4,2,0)</f>
        <v>0</v>
      </c>
      <c r="H15" s="1" t="n">
        <f aca="false">IF(Entries!E15='Correct Answers'!B5,2,0)</f>
        <v>0</v>
      </c>
      <c r="I15" s="1" t="n">
        <f aca="false">IF(Entries!F15='Correct Answers'!B6,2,0)</f>
        <v>0</v>
      </c>
      <c r="J15" s="21" t="n">
        <f aca="false">IF(Entries!G15='Correct Answers'!B7,2,0)</f>
        <v>0</v>
      </c>
      <c r="K15" s="21" t="n">
        <f aca="false">IF(Entries!H15='Correct Answers'!B8,2,0)</f>
        <v>0</v>
      </c>
      <c r="L15" s="21" t="n">
        <f aca="false">IF(Entries!I15='Correct Answers'!B9,2,0)</f>
        <v>0</v>
      </c>
      <c r="M15" s="21" t="n">
        <f aca="false">IF(Entries!J15='Correct Answers'!B10,2,0)</f>
        <v>0</v>
      </c>
      <c r="N15" s="21" t="n">
        <f aca="false">IF(Entries!K15='Correct Answers'!B11,2,0)</f>
        <v>0</v>
      </c>
      <c r="O15" s="21" t="n">
        <f aca="false">IF(Entries!L15='Correct Answers'!B12,2,0)</f>
        <v>0</v>
      </c>
      <c r="P15" s="21" t="n">
        <f aca="false">IF(Entries!M15='Correct Answers'!B13,2,0)</f>
        <v>0</v>
      </c>
      <c r="Q15" s="1" t="n">
        <f aca="false">2*(IF(Entries!N15='Correct Answers'!B14,1,0)+IF(Entries!O15='Correct Answers'!B15,1,0)+IF(Entries!P15='Correct Answers'!B16,1,0)+IF(Entries!Q15='Correct Answers'!B17,1,0))</f>
        <v>0</v>
      </c>
      <c r="R15" s="1" t="n">
        <f aca="false">2*(IF(Entries!R15='Correct Answers'!B18,1,0)+IF(Entries!S15='Correct Answers'!B19,1,0))</f>
        <v>0</v>
      </c>
      <c r="S15" s="21" t="n">
        <f aca="false">IF(Entries!T15='Correct Answers'!B20,2,0)</f>
        <v>0</v>
      </c>
      <c r="T15" s="21" t="n">
        <f aca="false">IF(Entries!U15='Correct Answers'!B21,2,0)</f>
        <v>0</v>
      </c>
      <c r="U15" s="21" t="n">
        <f aca="false">IF(Entries!V15='Correct Answers'!B22,2,0)</f>
        <v>2</v>
      </c>
      <c r="V15" s="21" t="n">
        <f aca="false">Entries!W15-'Correct Answers'!B23</f>
        <v>122</v>
      </c>
    </row>
    <row r="16" customFormat="false" ht="15" hidden="false" customHeight="false" outlineLevel="0" collapsed="false">
      <c r="A16" s="26" t="str">
        <f aca="false">Entries!A16</f>
        <v>Brian Varney</v>
      </c>
      <c r="B16" s="1" t="n">
        <f aca="false">SUM(E16:U16)</f>
        <v>0</v>
      </c>
      <c r="E16" s="1" t="n">
        <f aca="false">IF(Entries!B16='Correct Answers'!B2,2,0)</f>
        <v>0</v>
      </c>
      <c r="F16" s="1" t="n">
        <f aca="false">IF(Entries!C16='Correct Answers'!B3,2,0)</f>
        <v>0</v>
      </c>
      <c r="G16" s="1" t="n">
        <f aca="false">IF(Entries!D16='Correct Answers'!B4,2,0)</f>
        <v>0</v>
      </c>
      <c r="H16" s="1" t="n">
        <f aca="false">IF(Entries!E16='Correct Answers'!B5,2,0)</f>
        <v>0</v>
      </c>
      <c r="I16" s="1" t="n">
        <f aca="false">IF(Entries!F16='Correct Answers'!B6,2,0)</f>
        <v>0</v>
      </c>
      <c r="J16" s="21" t="n">
        <f aca="false">IF(Entries!G16='Correct Answers'!B7,2,0)</f>
        <v>0</v>
      </c>
      <c r="K16" s="21" t="n">
        <f aca="false">IF(Entries!H16='Correct Answers'!B8,2,0)</f>
        <v>0</v>
      </c>
      <c r="L16" s="21" t="n">
        <f aca="false">IF(Entries!I16='Correct Answers'!B9,2,0)</f>
        <v>0</v>
      </c>
      <c r="M16" s="21" t="n">
        <f aca="false">IF(Entries!J16='Correct Answers'!B10,2,0)</f>
        <v>0</v>
      </c>
      <c r="N16" s="21" t="n">
        <f aca="false">IF(Entries!K16='Correct Answers'!B11,2,0)</f>
        <v>0</v>
      </c>
      <c r="O16" s="21" t="n">
        <f aca="false">IF(Entries!L16='Correct Answers'!B12,2,0)</f>
        <v>0</v>
      </c>
      <c r="P16" s="21" t="n">
        <f aca="false">IF(Entries!M16='Correct Answers'!B13,2,0)</f>
        <v>0</v>
      </c>
      <c r="Q16" s="1" t="n">
        <f aca="false">2*(IF(Entries!N16='Correct Answers'!B14,1,0)+IF(Entries!O16='Correct Answers'!B15,1,0)+IF(Entries!P16='Correct Answers'!B16,1,0)+IF(Entries!Q16='Correct Answers'!B17,1,0))</f>
        <v>0</v>
      </c>
      <c r="R16" s="1" t="n">
        <f aca="false">2*(IF(Entries!R16='Correct Answers'!B18,1,0)+IF(Entries!S16='Correct Answers'!B19,1,0))</f>
        <v>0</v>
      </c>
      <c r="S16" s="21" t="n">
        <f aca="false">IF(Entries!T16='Correct Answers'!B20,2,0)</f>
        <v>0</v>
      </c>
      <c r="T16" s="21" t="n">
        <f aca="false">IF(Entries!U16='Correct Answers'!B21,2,0)</f>
        <v>0</v>
      </c>
      <c r="U16" s="21" t="n">
        <f aca="false">IF(Entries!V16='Correct Answers'!B22,2,0)</f>
        <v>0</v>
      </c>
      <c r="V16" s="21" t="n">
        <f aca="false">Entries!W16-'Correct Answers'!B23</f>
        <v>243</v>
      </c>
    </row>
    <row r="17" customFormat="false" ht="15" hidden="false" customHeight="false" outlineLevel="0" collapsed="false">
      <c r="A17" s="26" t="str">
        <f aca="false">Entries!A17</f>
        <v>Nick Davis</v>
      </c>
      <c r="B17" s="1" t="n">
        <f aca="false">SUM(E17:U17)</f>
        <v>2</v>
      </c>
      <c r="E17" s="1" t="n">
        <f aca="false">IF(Entries!B17='Correct Answers'!B2,2,0)</f>
        <v>0</v>
      </c>
      <c r="F17" s="1" t="n">
        <f aca="false">IF(Entries!C17='Correct Answers'!B3,2,0)</f>
        <v>0</v>
      </c>
      <c r="G17" s="1" t="n">
        <f aca="false">IF(Entries!D17='Correct Answers'!B4,2,0)</f>
        <v>0</v>
      </c>
      <c r="H17" s="1" t="n">
        <f aca="false">IF(Entries!E17='Correct Answers'!B5,2,0)</f>
        <v>0</v>
      </c>
      <c r="I17" s="1" t="n">
        <f aca="false">IF(Entries!F17='Correct Answers'!B6,2,0)</f>
        <v>0</v>
      </c>
      <c r="J17" s="21" t="n">
        <f aca="false">IF(Entries!G17='Correct Answers'!B7,2,0)</f>
        <v>0</v>
      </c>
      <c r="K17" s="21" t="n">
        <f aca="false">IF(Entries!H17='Correct Answers'!B8,2,0)</f>
        <v>0</v>
      </c>
      <c r="L17" s="21" t="n">
        <f aca="false">IF(Entries!I17='Correct Answers'!B9,2,0)</f>
        <v>0</v>
      </c>
      <c r="M17" s="21" t="n">
        <f aca="false">IF(Entries!J17='Correct Answers'!B10,2,0)</f>
        <v>0</v>
      </c>
      <c r="N17" s="21" t="n">
        <f aca="false">IF(Entries!K17='Correct Answers'!B11,2,0)</f>
        <v>0</v>
      </c>
      <c r="O17" s="21" t="n">
        <f aca="false">IF(Entries!L17='Correct Answers'!B12,2,0)</f>
        <v>0</v>
      </c>
      <c r="P17" s="21" t="n">
        <f aca="false">IF(Entries!M17='Correct Answers'!B13,2,0)</f>
        <v>0</v>
      </c>
      <c r="Q17" s="1" t="n">
        <f aca="false">2*(IF(Entries!N17='Correct Answers'!B14,1,0)+IF(Entries!O17='Correct Answers'!B15,1,0)+IF(Entries!P17='Correct Answers'!B16,1,0)+IF(Entries!Q17='Correct Answers'!B17,1,0))</f>
        <v>0</v>
      </c>
      <c r="R17" s="1" t="n">
        <f aca="false">2*(IF(Entries!R17='Correct Answers'!B18,1,0)+IF(Entries!S17='Correct Answers'!B19,1,0))</f>
        <v>0</v>
      </c>
      <c r="S17" s="21" t="n">
        <f aca="false">IF(Entries!T17='Correct Answers'!B20,2,0)</f>
        <v>0</v>
      </c>
      <c r="T17" s="21" t="n">
        <f aca="false">IF(Entries!U17='Correct Answers'!B21,2,0)</f>
        <v>0</v>
      </c>
      <c r="U17" s="21" t="n">
        <f aca="false">IF(Entries!V17='Correct Answers'!B22,2,0)</f>
        <v>2</v>
      </c>
      <c r="V17" s="21" t="n">
        <f aca="false">Entries!W17-'Correct Answers'!B23</f>
        <v>166</v>
      </c>
    </row>
    <row r="18" customFormat="false" ht="15" hidden="false" customHeight="false" outlineLevel="0" collapsed="false">
      <c r="A18" s="26" t="str">
        <f aca="false">Entries!A18</f>
        <v>Chris Varney</v>
      </c>
      <c r="B18" s="1" t="n">
        <f aca="false">SUM(E18:U18)</f>
        <v>0</v>
      </c>
      <c r="E18" s="1" t="n">
        <f aca="false">IF(Entries!B18='Correct Answers'!B2,2,0)</f>
        <v>0</v>
      </c>
      <c r="F18" s="1" t="n">
        <f aca="false">IF(Entries!C18='Correct Answers'!B3,2,0)</f>
        <v>0</v>
      </c>
      <c r="G18" s="1" t="n">
        <f aca="false">IF(Entries!D18='Correct Answers'!B4,2,0)</f>
        <v>0</v>
      </c>
      <c r="H18" s="1" t="n">
        <f aca="false">IF(Entries!E18='Correct Answers'!B5,2,0)</f>
        <v>0</v>
      </c>
      <c r="I18" s="1" t="n">
        <f aca="false">IF(Entries!F18='Correct Answers'!B6,2,0)</f>
        <v>0</v>
      </c>
      <c r="J18" s="21" t="n">
        <f aca="false">IF(Entries!G18='Correct Answers'!B7,2,0)</f>
        <v>0</v>
      </c>
      <c r="K18" s="21" t="n">
        <f aca="false">IF(Entries!H18='Correct Answers'!B8,2,0)</f>
        <v>0</v>
      </c>
      <c r="L18" s="21" t="n">
        <f aca="false">IF(Entries!I18='Correct Answers'!B9,2,0)</f>
        <v>0</v>
      </c>
      <c r="M18" s="21" t="n">
        <f aca="false">IF(Entries!J18='Correct Answers'!B10,2,0)</f>
        <v>0</v>
      </c>
      <c r="N18" s="21" t="n">
        <f aca="false">IF(Entries!K18='Correct Answers'!B11,2,0)</f>
        <v>0</v>
      </c>
      <c r="O18" s="21" t="n">
        <f aca="false">IF(Entries!L18='Correct Answers'!B12,2,0)</f>
        <v>0</v>
      </c>
      <c r="P18" s="21" t="n">
        <f aca="false">IF(Entries!M18='Correct Answers'!B13,2,0)</f>
        <v>0</v>
      </c>
      <c r="Q18" s="1" t="n">
        <f aca="false">2*(IF(Entries!N18='Correct Answers'!B14,1,0)+IF(Entries!O18='Correct Answers'!B15,1,0)+IF(Entries!P18='Correct Answers'!B16,1,0)+IF(Entries!Q18='Correct Answers'!B17,1,0))</f>
        <v>0</v>
      </c>
      <c r="R18" s="1" t="n">
        <f aca="false">2*(IF(Entries!R18='Correct Answers'!B18,1,0)+IF(Entries!S18='Correct Answers'!B19,1,0))</f>
        <v>0</v>
      </c>
      <c r="S18" s="21" t="n">
        <f aca="false">IF(Entries!T18='Correct Answers'!B20,2,0)</f>
        <v>0</v>
      </c>
      <c r="T18" s="21" t="n">
        <f aca="false">IF(Entries!U18='Correct Answers'!B21,2,0)</f>
        <v>0</v>
      </c>
      <c r="U18" s="21" t="n">
        <f aca="false">IF(Entries!V18='Correct Answers'!B22,2,0)</f>
        <v>0</v>
      </c>
      <c r="V18" s="21" t="n">
        <f aca="false">Entries!W18-'Correct Answers'!B23</f>
        <v>200</v>
      </c>
    </row>
    <row r="19" customFormat="false" ht="15" hidden="false" customHeight="false" outlineLevel="0" collapsed="false">
      <c r="A19" s="26" t="str">
        <f aca="false">Entries!A19</f>
        <v>Roy Roberts</v>
      </c>
      <c r="B19" s="1" t="n">
        <f aca="false">SUM(E19:U19)</f>
        <v>0</v>
      </c>
      <c r="E19" s="1" t="n">
        <f aca="false">IF(Entries!B19='Correct Answers'!B2,2,0)</f>
        <v>0</v>
      </c>
      <c r="F19" s="1" t="n">
        <f aca="false">IF(Entries!C19='Correct Answers'!B3,2,0)</f>
        <v>0</v>
      </c>
      <c r="G19" s="1" t="n">
        <f aca="false">IF(Entries!D19='Correct Answers'!B4,2,0)</f>
        <v>0</v>
      </c>
      <c r="H19" s="1" t="n">
        <f aca="false">IF(Entries!E19='Correct Answers'!B5,2,0)</f>
        <v>0</v>
      </c>
      <c r="I19" s="1" t="n">
        <f aca="false">IF(Entries!F19='Correct Answers'!B6,2,0)</f>
        <v>0</v>
      </c>
      <c r="J19" s="21" t="n">
        <f aca="false">IF(Entries!G19='Correct Answers'!B7,2,0)</f>
        <v>0</v>
      </c>
      <c r="K19" s="21" t="n">
        <f aca="false">IF(Entries!H19='Correct Answers'!B8,2,0)</f>
        <v>0</v>
      </c>
      <c r="L19" s="21" t="n">
        <f aca="false">IF(Entries!I19='Correct Answers'!B9,2,0)</f>
        <v>0</v>
      </c>
      <c r="M19" s="21" t="n">
        <f aca="false">IF(Entries!J19='Correct Answers'!B10,2,0)</f>
        <v>0</v>
      </c>
      <c r="N19" s="21" t="n">
        <f aca="false">IF(Entries!K19='Correct Answers'!B11,2,0)</f>
        <v>0</v>
      </c>
      <c r="O19" s="21" t="n">
        <f aca="false">IF(Entries!L19='Correct Answers'!B12,2,0)</f>
        <v>0</v>
      </c>
      <c r="P19" s="21" t="n">
        <f aca="false">IF(Entries!M19='Correct Answers'!B13,2,0)</f>
        <v>0</v>
      </c>
      <c r="Q19" s="1" t="n">
        <f aca="false">2*(IF(Entries!N19='Correct Answers'!B14,1,0)+IF(Entries!O19='Correct Answers'!B15,1,0)+IF(Entries!P19='Correct Answers'!B16,1,0)+IF(Entries!Q19='Correct Answers'!B17,1,0))</f>
        <v>0</v>
      </c>
      <c r="R19" s="1" t="n">
        <f aca="false">2*(IF(Entries!R19='Correct Answers'!B18,1,0)+IF(Entries!S19='Correct Answers'!B19,1,0))</f>
        <v>0</v>
      </c>
      <c r="S19" s="21" t="n">
        <f aca="false">IF(Entries!T19='Correct Answers'!B20,2,0)</f>
        <v>0</v>
      </c>
      <c r="T19" s="21" t="n">
        <f aca="false">IF(Entries!U19='Correct Answers'!B21,2,0)</f>
        <v>0</v>
      </c>
      <c r="U19" s="21" t="n">
        <f aca="false">IF(Entries!V19='Correct Answers'!B22,2,0)</f>
        <v>0</v>
      </c>
      <c r="V19" s="21" t="n">
        <f aca="false">Entries!W19-'Correct Answers'!B23</f>
        <v>180</v>
      </c>
    </row>
    <row r="20" customFormat="false" ht="15" hidden="false" customHeight="false" outlineLevel="0" collapsed="false">
      <c r="A20" s="26" t="str">
        <f aca="false">Entries!A20</f>
        <v>Lee Hughes</v>
      </c>
      <c r="B20" s="1" t="n">
        <f aca="false">SUM(E20:U20)</f>
        <v>0</v>
      </c>
      <c r="E20" s="1" t="n">
        <f aca="false">IF(Entries!B20='Correct Answers'!B2,2,0)</f>
        <v>0</v>
      </c>
      <c r="F20" s="1" t="n">
        <f aca="false">IF(Entries!C20='Correct Answers'!B3,2,0)</f>
        <v>0</v>
      </c>
      <c r="G20" s="1" t="n">
        <f aca="false">IF(Entries!D20='Correct Answers'!B4,2,0)</f>
        <v>0</v>
      </c>
      <c r="H20" s="1" t="n">
        <f aca="false">IF(Entries!E20='Correct Answers'!B5,2,0)</f>
        <v>0</v>
      </c>
      <c r="I20" s="1" t="n">
        <f aca="false">IF(Entries!F20='Correct Answers'!B6,2,0)</f>
        <v>0</v>
      </c>
      <c r="J20" s="21" t="n">
        <f aca="false">IF(Entries!G20='Correct Answers'!B7,2,0)</f>
        <v>0</v>
      </c>
      <c r="K20" s="21" t="n">
        <f aca="false">IF(Entries!H20='Correct Answers'!B8,2,0)</f>
        <v>0</v>
      </c>
      <c r="L20" s="21" t="n">
        <f aca="false">IF(Entries!I20='Correct Answers'!B9,2,0)</f>
        <v>0</v>
      </c>
      <c r="M20" s="21" t="n">
        <f aca="false">IF(Entries!J20='Correct Answers'!B10,2,0)</f>
        <v>0</v>
      </c>
      <c r="N20" s="21" t="n">
        <f aca="false">IF(Entries!K20='Correct Answers'!B11,2,0)</f>
        <v>0</v>
      </c>
      <c r="O20" s="21" t="n">
        <f aca="false">IF(Entries!L20='Correct Answers'!B12,2,0)</f>
        <v>0</v>
      </c>
      <c r="P20" s="21" t="n">
        <f aca="false">IF(Entries!M20='Correct Answers'!B13,2,0)</f>
        <v>0</v>
      </c>
      <c r="Q20" s="1" t="n">
        <f aca="false">2*(IF(Entries!N20='Correct Answers'!B14,1,0)+IF(Entries!O20='Correct Answers'!B15,1,0)+IF(Entries!P20='Correct Answers'!B16,1,0)+IF(Entries!Q20='Correct Answers'!B17,1,0))</f>
        <v>0</v>
      </c>
      <c r="R20" s="1" t="n">
        <f aca="false">2*(IF(Entries!R20='Correct Answers'!B18,1,0)+IF(Entries!S20='Correct Answers'!B19,1,0))</f>
        <v>0</v>
      </c>
      <c r="S20" s="21" t="n">
        <f aca="false">IF(Entries!T20='Correct Answers'!B20,2,0)</f>
        <v>0</v>
      </c>
      <c r="T20" s="21" t="n">
        <f aca="false">IF(Entries!U20='Correct Answers'!B21,2,0)</f>
        <v>0</v>
      </c>
      <c r="U20" s="21" t="n">
        <f aca="false">IF(Entries!V20='Correct Answers'!B22,2,0)</f>
        <v>0</v>
      </c>
      <c r="V20" s="21" t="n">
        <f aca="false">Entries!W20-'Correct Answers'!B23</f>
        <v>62</v>
      </c>
    </row>
    <row r="21" customFormat="false" ht="15" hidden="false" customHeight="false" outlineLevel="0" collapsed="false">
      <c r="A21" s="26" t="str">
        <f aca="false">Entries!A21</f>
        <v>Amanda Andrews</v>
      </c>
      <c r="B21" s="1" t="n">
        <f aca="false">SUM(E21:U21)</f>
        <v>2</v>
      </c>
      <c r="E21" s="1" t="n">
        <f aca="false">IF(Entries!B21='Correct Answers'!B2,2,0)</f>
        <v>0</v>
      </c>
      <c r="F21" s="1" t="n">
        <f aca="false">IF(Entries!C21='Correct Answers'!B3,2,0)</f>
        <v>0</v>
      </c>
      <c r="G21" s="1" t="n">
        <f aca="false">IF(Entries!D21='Correct Answers'!B4,2,0)</f>
        <v>0</v>
      </c>
      <c r="H21" s="1" t="n">
        <f aca="false">IF(Entries!E21='Correct Answers'!B5,2,0)</f>
        <v>0</v>
      </c>
      <c r="I21" s="1" t="n">
        <f aca="false">IF(Entries!F21='Correct Answers'!B6,2,0)</f>
        <v>0</v>
      </c>
      <c r="J21" s="21" t="n">
        <f aca="false">IF(Entries!G21='Correct Answers'!B7,2,0)</f>
        <v>0</v>
      </c>
      <c r="K21" s="21" t="n">
        <f aca="false">IF(Entries!H21='Correct Answers'!B8,2,0)</f>
        <v>0</v>
      </c>
      <c r="L21" s="21" t="n">
        <f aca="false">IF(Entries!I21='Correct Answers'!B9,2,0)</f>
        <v>0</v>
      </c>
      <c r="M21" s="21" t="n">
        <f aca="false">IF(Entries!J21='Correct Answers'!B10,2,0)</f>
        <v>0</v>
      </c>
      <c r="N21" s="21" t="n">
        <f aca="false">IF(Entries!K21='Correct Answers'!B11,2,0)</f>
        <v>0</v>
      </c>
      <c r="O21" s="21" t="n">
        <f aca="false">IF(Entries!L21='Correct Answers'!B12,2,0)</f>
        <v>0</v>
      </c>
      <c r="P21" s="21" t="n">
        <f aca="false">IF(Entries!M21='Correct Answers'!B13,2,0)</f>
        <v>0</v>
      </c>
      <c r="Q21" s="1" t="n">
        <f aca="false">2*(IF(Entries!N21='Correct Answers'!B14,1,0)+IF(Entries!O21='Correct Answers'!B15,1,0)+IF(Entries!P21='Correct Answers'!B16,1,0)+IF(Entries!Q21='Correct Answers'!B17,1,0))</f>
        <v>0</v>
      </c>
      <c r="R21" s="1" t="n">
        <f aca="false">2*(IF(Entries!R21='Correct Answers'!B18,1,0)+IF(Entries!S21='Correct Answers'!B19,1,0))</f>
        <v>0</v>
      </c>
      <c r="S21" s="21" t="n">
        <f aca="false">IF(Entries!T21='Correct Answers'!B20,2,0)</f>
        <v>0</v>
      </c>
      <c r="T21" s="21" t="n">
        <f aca="false">IF(Entries!U21='Correct Answers'!B21,2,0)</f>
        <v>0</v>
      </c>
      <c r="U21" s="21" t="n">
        <f aca="false">IF(Entries!V21='Correct Answers'!B22,2,0)</f>
        <v>2</v>
      </c>
      <c r="V21" s="21" t="n">
        <f aca="false">Entries!W21-'Correct Answers'!B23</f>
        <v>202</v>
      </c>
    </row>
    <row r="22" customFormat="false" ht="15" hidden="false" customHeight="false" outlineLevel="0" collapsed="false">
      <c r="A22" s="26" t="str">
        <f aca="false">Entries!A22</f>
        <v>David Brookes</v>
      </c>
      <c r="B22" s="1" t="n">
        <f aca="false">SUM(E22:U22)</f>
        <v>0</v>
      </c>
      <c r="E22" s="1" t="n">
        <f aca="false">IF(Entries!B22='Correct Answers'!B2,2,0)</f>
        <v>0</v>
      </c>
      <c r="F22" s="1" t="n">
        <f aca="false">IF(Entries!C22='Correct Answers'!B3,2,0)</f>
        <v>0</v>
      </c>
      <c r="G22" s="1" t="n">
        <f aca="false">IF(Entries!D22='Correct Answers'!B4,2,0)</f>
        <v>0</v>
      </c>
      <c r="H22" s="1" t="n">
        <f aca="false">IF(Entries!E22='Correct Answers'!B5,2,0)</f>
        <v>0</v>
      </c>
      <c r="I22" s="1" t="n">
        <f aca="false">IF(Entries!F22='Correct Answers'!B6,2,0)</f>
        <v>0</v>
      </c>
      <c r="J22" s="21" t="n">
        <f aca="false">IF(Entries!G22='Correct Answers'!B7,2,0)</f>
        <v>0</v>
      </c>
      <c r="K22" s="21" t="n">
        <f aca="false">IF(Entries!H22='Correct Answers'!B8,2,0)</f>
        <v>0</v>
      </c>
      <c r="L22" s="21" t="n">
        <f aca="false">IF(Entries!I22='Correct Answers'!B9,2,0)</f>
        <v>0</v>
      </c>
      <c r="M22" s="21" t="n">
        <f aca="false">IF(Entries!J22='Correct Answers'!B10,2,0)</f>
        <v>0</v>
      </c>
      <c r="N22" s="21" t="n">
        <f aca="false">IF(Entries!K22='Correct Answers'!B11,2,0)</f>
        <v>0</v>
      </c>
      <c r="O22" s="21" t="n">
        <f aca="false">IF(Entries!L22='Correct Answers'!B12,2,0)</f>
        <v>0</v>
      </c>
      <c r="P22" s="21" t="n">
        <f aca="false">IF(Entries!M22='Correct Answers'!B13,2,0)</f>
        <v>0</v>
      </c>
      <c r="Q22" s="1" t="n">
        <f aca="false">2*(IF(Entries!N22='Correct Answers'!B14,1,0)+IF(Entries!O22='Correct Answers'!B15,1,0)+IF(Entries!P22='Correct Answers'!B16,1,0)+IF(Entries!Q22='Correct Answers'!B17,1,0))</f>
        <v>0</v>
      </c>
      <c r="R22" s="1" t="n">
        <f aca="false">2*(IF(Entries!R22='Correct Answers'!B18,1,0)+IF(Entries!S22='Correct Answers'!B19,1,0))</f>
        <v>0</v>
      </c>
      <c r="S22" s="21" t="n">
        <f aca="false">IF(Entries!T22='Correct Answers'!B20,2,0)</f>
        <v>0</v>
      </c>
      <c r="T22" s="21" t="n">
        <f aca="false">IF(Entries!U22='Correct Answers'!B21,2,0)</f>
        <v>0</v>
      </c>
      <c r="U22" s="21" t="n">
        <f aca="false">IF(Entries!V22='Correct Answers'!B22,2,0)</f>
        <v>0</v>
      </c>
      <c r="V22" s="21" t="n">
        <f aca="false">Entries!W22-'Correct Answers'!B23</f>
        <v>173</v>
      </c>
    </row>
    <row r="23" customFormat="false" ht="15" hidden="false" customHeight="false" outlineLevel="0" collapsed="false">
      <c r="A23" s="26" t="str">
        <f aca="false">Entries!A23</f>
        <v>Alan Bennett</v>
      </c>
      <c r="B23" s="27" t="n">
        <f aca="false">SUM(E23:U23)</f>
        <v>0</v>
      </c>
      <c r="C23" s="27"/>
      <c r="D23" s="27"/>
      <c r="E23" s="27" t="n">
        <f aca="false">IF(Entries!B23='Correct Answers'!B2,2,0)</f>
        <v>0</v>
      </c>
      <c r="F23" s="27" t="n">
        <f aca="false">IF(Entries!C23='Correct Answers'!B3,2,0)</f>
        <v>0</v>
      </c>
      <c r="G23" s="27" t="n">
        <f aca="false">IF(Entries!D23='Correct Answers'!B4,2,0)</f>
        <v>0</v>
      </c>
      <c r="H23" s="27" t="n">
        <f aca="false">IF(Entries!E23='Correct Answers'!B5,2,0)</f>
        <v>0</v>
      </c>
      <c r="I23" s="27" t="n">
        <f aca="false">IF(Entries!F23='Correct Answers'!B6,2,0)</f>
        <v>0</v>
      </c>
      <c r="J23" s="27" t="n">
        <f aca="false">IF(Entries!G23='Correct Answers'!B7,2,0)</f>
        <v>0</v>
      </c>
      <c r="K23" s="27" t="n">
        <f aca="false">IF(Entries!H23='Correct Answers'!B8,2,0)</f>
        <v>0</v>
      </c>
      <c r="L23" s="27" t="n">
        <f aca="false">IF(Entries!I23='Correct Answers'!B9,2,0)</f>
        <v>0</v>
      </c>
      <c r="M23" s="27" t="n">
        <f aca="false">IF(Entries!J23='Correct Answers'!B10,2,0)</f>
        <v>0</v>
      </c>
      <c r="N23" s="27" t="n">
        <f aca="false">IF(Entries!K23='Correct Answers'!B11,2,0)</f>
        <v>0</v>
      </c>
      <c r="O23" s="27" t="n">
        <f aca="false">IF(Entries!L23='Correct Answers'!B12,2,0)</f>
        <v>0</v>
      </c>
      <c r="P23" s="27" t="n">
        <f aca="false">IF(Entries!M23='Correct Answers'!B13,2,0)</f>
        <v>0</v>
      </c>
      <c r="Q23" s="27" t="n">
        <f aca="false">2*(IF(Entries!N23='Correct Answers'!B14,1,0)+IF(Entries!O23='Correct Answers'!B15,1,0)+IF(Entries!P23='Correct Answers'!B16,1,0)+IF(Entries!Q23='Correct Answers'!B17,1,0))</f>
        <v>0</v>
      </c>
      <c r="R23" s="27" t="n">
        <f aca="false">2*(IF(Entries!R23='Correct Answers'!B18,1,0)+IF(Entries!S23='Correct Answers'!B19,1,0))</f>
        <v>0</v>
      </c>
      <c r="S23" s="27" t="n">
        <f aca="false">IF(Entries!T23='Correct Answers'!B20,2,0)</f>
        <v>0</v>
      </c>
      <c r="T23" s="27" t="n">
        <f aca="false">IF(Entries!U23='Correct Answers'!B21,2,0)</f>
        <v>0</v>
      </c>
      <c r="U23" s="27" t="n">
        <f aca="false">IF(Entries!V23='Correct Answers'!B22,2,0)</f>
        <v>0</v>
      </c>
      <c r="V23" s="27" t="e">
        <f aca="false">Entries!W23-'Correct Answers'!B23</f>
        <v>#VALUE!</v>
      </c>
    </row>
    <row r="24" customFormat="false" ht="15" hidden="false" customHeight="false" outlineLevel="0" collapsed="false">
      <c r="A24" s="26" t="str">
        <f aca="false">Entries!A24</f>
        <v>Matthew Varney</v>
      </c>
      <c r="B24" s="1" t="n">
        <f aca="false">SUM(E24:U24)</f>
        <v>0</v>
      </c>
      <c r="E24" s="1" t="n">
        <f aca="false">IF(Entries!B24='Correct Answers'!B2,2,0)</f>
        <v>0</v>
      </c>
      <c r="F24" s="1" t="n">
        <f aca="false">IF(Entries!C24='Correct Answers'!B3,2,0)</f>
        <v>0</v>
      </c>
      <c r="G24" s="1" t="n">
        <f aca="false">IF(Entries!D24='Correct Answers'!B4,2,0)</f>
        <v>0</v>
      </c>
      <c r="H24" s="1" t="n">
        <f aca="false">IF(Entries!E24='Correct Answers'!B5,2,0)</f>
        <v>0</v>
      </c>
      <c r="I24" s="1" t="n">
        <f aca="false">IF(Entries!F24='Correct Answers'!B6,2,0)</f>
        <v>0</v>
      </c>
      <c r="J24" s="21" t="n">
        <f aca="false">IF(Entries!G24='Correct Answers'!B7,2,0)</f>
        <v>0</v>
      </c>
      <c r="K24" s="21" t="n">
        <f aca="false">IF(Entries!H24='Correct Answers'!B8,2,0)</f>
        <v>0</v>
      </c>
      <c r="L24" s="21" t="n">
        <f aca="false">IF(Entries!I24='Correct Answers'!B9,2,0)</f>
        <v>0</v>
      </c>
      <c r="M24" s="21" t="n">
        <f aca="false">IF(Entries!J24='Correct Answers'!B10,2,0)</f>
        <v>0</v>
      </c>
      <c r="N24" s="21" t="n">
        <f aca="false">IF(Entries!K24='Correct Answers'!B11,2,0)</f>
        <v>0</v>
      </c>
      <c r="O24" s="21" t="n">
        <f aca="false">IF(Entries!L24='Correct Answers'!B12,2,0)</f>
        <v>0</v>
      </c>
      <c r="P24" s="21" t="n">
        <f aca="false">IF(Entries!M24='Correct Answers'!B13,2,0)</f>
        <v>0</v>
      </c>
      <c r="Q24" s="1" t="n">
        <f aca="false">2*(IF(Entries!N24='Correct Answers'!B14,1,0)+IF(Entries!O24='Correct Answers'!B15,1,0)+IF(Entries!P24='Correct Answers'!B16,1,0)+IF(Entries!Q24='Correct Answers'!B17,1,0))</f>
        <v>0</v>
      </c>
      <c r="R24" s="1" t="n">
        <f aca="false">2*(IF(Entries!R24='Correct Answers'!B18,1,0)+IF(Entries!S24='Correct Answers'!B19,1,0))</f>
        <v>0</v>
      </c>
      <c r="S24" s="21" t="n">
        <f aca="false">IF(Entries!T24='Correct Answers'!B20,2,0)</f>
        <v>0</v>
      </c>
      <c r="T24" s="21" t="n">
        <f aca="false">IF(Entries!U24='Correct Answers'!B21,2,0)</f>
        <v>0</v>
      </c>
      <c r="U24" s="21" t="n">
        <f aca="false">IF(Entries!V24='Correct Answers'!B22,2,0)</f>
        <v>0</v>
      </c>
      <c r="V24" s="21" t="n">
        <f aca="false">Entries!W24-'Correct Answers'!B23</f>
        <v>185</v>
      </c>
    </row>
    <row r="25" customFormat="false" ht="15" hidden="false" customHeight="false" outlineLevel="0" collapsed="false">
      <c r="A25" s="26" t="str">
        <f aca="false">Entries!A25</f>
        <v>Oliver Nay</v>
      </c>
      <c r="B25" s="1" t="n">
        <f aca="false">SUM(E25:U25)</f>
        <v>0</v>
      </c>
      <c r="E25" s="1" t="n">
        <f aca="false">IF(Entries!B25='Correct Answers'!B2,2,0)</f>
        <v>0</v>
      </c>
      <c r="F25" s="1" t="n">
        <f aca="false">IF(Entries!C25='Correct Answers'!B3,2,0)</f>
        <v>0</v>
      </c>
      <c r="G25" s="1" t="n">
        <f aca="false">IF(Entries!D25='Correct Answers'!B4,2,0)</f>
        <v>0</v>
      </c>
      <c r="H25" s="1" t="n">
        <f aca="false">IF(Entries!E25='Correct Answers'!B5,2,0)</f>
        <v>0</v>
      </c>
      <c r="I25" s="1" t="n">
        <f aca="false">IF(Entries!F25='Correct Answers'!B6,2,0)</f>
        <v>0</v>
      </c>
      <c r="J25" s="21" t="n">
        <f aca="false">IF(Entries!G25='Correct Answers'!B7,2,0)</f>
        <v>0</v>
      </c>
      <c r="K25" s="21" t="n">
        <f aca="false">IF(Entries!H25='Correct Answers'!B8,2,0)</f>
        <v>0</v>
      </c>
      <c r="L25" s="21" t="n">
        <f aca="false">IF(Entries!I25='Correct Answers'!B9,2,0)</f>
        <v>0</v>
      </c>
      <c r="M25" s="21" t="n">
        <f aca="false">IF(Entries!J25='Correct Answers'!B10,2,0)</f>
        <v>0</v>
      </c>
      <c r="N25" s="21" t="n">
        <f aca="false">IF(Entries!K25='Correct Answers'!B11,2,0)</f>
        <v>0</v>
      </c>
      <c r="O25" s="21" t="n">
        <f aca="false">IF(Entries!L25='Correct Answers'!B12,2,0)</f>
        <v>0</v>
      </c>
      <c r="P25" s="21" t="n">
        <f aca="false">IF(Entries!M25='Correct Answers'!B13,2,0)</f>
        <v>0</v>
      </c>
      <c r="Q25" s="1" t="n">
        <f aca="false">2*(IF(Entries!N25='Correct Answers'!B14,1,0)+IF(Entries!O25='Correct Answers'!B15,1,0)+IF(Entries!P25='Correct Answers'!B16,1,0)+IF(Entries!Q25='Correct Answers'!B17,1,0))</f>
        <v>0</v>
      </c>
      <c r="R25" s="1" t="n">
        <f aca="false">2*(IF(Entries!R25='Correct Answers'!B18,1,0)+IF(Entries!S25='Correct Answers'!B19,1,0))</f>
        <v>0</v>
      </c>
      <c r="S25" s="21" t="n">
        <f aca="false">IF(Entries!T25='Correct Answers'!B20,2,0)</f>
        <v>0</v>
      </c>
      <c r="T25" s="21" t="n">
        <f aca="false">IF(Entries!U25='Correct Answers'!B21,2,0)</f>
        <v>0</v>
      </c>
      <c r="U25" s="21" t="n">
        <f aca="false">IF(Entries!V25='Correct Answers'!B22,2,0)</f>
        <v>0</v>
      </c>
      <c r="V25" s="21" t="n">
        <f aca="false">Entries!W25-'Correct Answers'!B23</f>
        <v>45</v>
      </c>
    </row>
    <row r="26" customFormat="false" ht="15" hidden="false" customHeight="false" outlineLevel="0" collapsed="false">
      <c r="A26" s="26" t="str">
        <f aca="false">Entries!A26</f>
        <v>Stephen Roberts</v>
      </c>
      <c r="B26" s="1" t="n">
        <f aca="false">SUM(E26:U26)</f>
        <v>0</v>
      </c>
      <c r="E26" s="1" t="n">
        <f aca="false">IF(Entries!B26='Correct Answers'!B2,2,0)</f>
        <v>0</v>
      </c>
      <c r="F26" s="1" t="n">
        <f aca="false">IF(Entries!C26='Correct Answers'!B3,2,0)</f>
        <v>0</v>
      </c>
      <c r="G26" s="1" t="n">
        <f aca="false">IF(Entries!D26='Correct Answers'!B4,2,0)</f>
        <v>0</v>
      </c>
      <c r="H26" s="1" t="n">
        <f aca="false">IF(Entries!E26='Correct Answers'!B5,2,0)</f>
        <v>0</v>
      </c>
      <c r="I26" s="1" t="n">
        <f aca="false">IF(Entries!F26='Correct Answers'!B6,2,0)</f>
        <v>0</v>
      </c>
      <c r="J26" s="21" t="n">
        <f aca="false">IF(Entries!G26='Correct Answers'!B7,2,0)</f>
        <v>0</v>
      </c>
      <c r="K26" s="21" t="n">
        <f aca="false">IF(Entries!H26='Correct Answers'!B8,2,0)</f>
        <v>0</v>
      </c>
      <c r="L26" s="21" t="n">
        <f aca="false">IF(Entries!I26='Correct Answers'!B9,2,0)</f>
        <v>0</v>
      </c>
      <c r="M26" s="21" t="n">
        <f aca="false">IF(Entries!J26='Correct Answers'!B10,2,0)</f>
        <v>0</v>
      </c>
      <c r="N26" s="21" t="n">
        <f aca="false">IF(Entries!K26='Correct Answers'!B11,2,0)</f>
        <v>0</v>
      </c>
      <c r="O26" s="21" t="n">
        <f aca="false">IF(Entries!L26='Correct Answers'!B12,2,0)</f>
        <v>0</v>
      </c>
      <c r="P26" s="21" t="n">
        <f aca="false">IF(Entries!M26='Correct Answers'!B13,2,0)</f>
        <v>0</v>
      </c>
      <c r="Q26" s="1" t="n">
        <f aca="false">2*(IF(Entries!N26='Correct Answers'!B14,1,0)+IF(Entries!O26='Correct Answers'!B15,1,0)+IF(Entries!P26='Correct Answers'!B16,1,0)+IF(Entries!Q26='Correct Answers'!B17,1,0))</f>
        <v>0</v>
      </c>
      <c r="R26" s="1" t="n">
        <f aca="false">2*(IF(Entries!R26='Correct Answers'!B18,1,0)+IF(Entries!S26='Correct Answers'!B19,1,0))</f>
        <v>0</v>
      </c>
      <c r="S26" s="21" t="n">
        <f aca="false">IF(Entries!T26='Correct Answers'!B20,2,0)</f>
        <v>0</v>
      </c>
      <c r="T26" s="21" t="n">
        <f aca="false">IF(Entries!U26='Correct Answers'!B21,2,0)</f>
        <v>0</v>
      </c>
      <c r="U26" s="21" t="n">
        <f aca="false">IF(Entries!V26='Correct Answers'!B22,2,0)</f>
        <v>0</v>
      </c>
      <c r="V26" s="21" t="n">
        <f aca="false">Entries!W26-'Correct Answers'!B23</f>
        <v>64</v>
      </c>
    </row>
    <row r="27" customFormat="false" ht="15" hidden="false" customHeight="false" outlineLevel="0" collapsed="false">
      <c r="A27" s="26" t="str">
        <f aca="false">Entries!A27</f>
        <v>Ethan Yates</v>
      </c>
      <c r="B27" s="1" t="n">
        <f aca="false">SUM(E27:U27)</f>
        <v>0</v>
      </c>
      <c r="E27" s="1" t="n">
        <f aca="false">IF(Entries!B27='Correct Answers'!B2,2,0)</f>
        <v>0</v>
      </c>
      <c r="F27" s="1" t="n">
        <f aca="false">IF(Entries!C27='Correct Answers'!B3,2,0)</f>
        <v>0</v>
      </c>
      <c r="G27" s="1" t="n">
        <f aca="false">IF(Entries!D27='Correct Answers'!B4,2,0)</f>
        <v>0</v>
      </c>
      <c r="H27" s="1" t="n">
        <f aca="false">IF(Entries!E27='Correct Answers'!B5,2,0)</f>
        <v>0</v>
      </c>
      <c r="I27" s="1" t="n">
        <f aca="false">IF(Entries!F27='Correct Answers'!B6,2,0)</f>
        <v>0</v>
      </c>
      <c r="J27" s="21" t="n">
        <f aca="false">IF(Entries!G27='Correct Answers'!B7,2,0)</f>
        <v>0</v>
      </c>
      <c r="K27" s="21" t="n">
        <f aca="false">IF(Entries!H27='Correct Answers'!B8,2,0)</f>
        <v>0</v>
      </c>
      <c r="L27" s="21" t="n">
        <f aca="false">IF(Entries!I27='Correct Answers'!B9,2,0)</f>
        <v>0</v>
      </c>
      <c r="M27" s="21" t="n">
        <f aca="false">IF(Entries!J27='Correct Answers'!B10,2,0)</f>
        <v>0</v>
      </c>
      <c r="N27" s="21" t="n">
        <f aca="false">IF(Entries!K27='Correct Answers'!B11,2,0)</f>
        <v>0</v>
      </c>
      <c r="O27" s="21" t="n">
        <f aca="false">IF(Entries!L27='Correct Answers'!B12,2,0)</f>
        <v>0</v>
      </c>
      <c r="P27" s="21" t="n">
        <f aca="false">IF(Entries!M27='Correct Answers'!B13,2,0)</f>
        <v>0</v>
      </c>
      <c r="Q27" s="1" t="n">
        <f aca="false">2*(IF(Entries!N27='Correct Answers'!B14,1,0)+IF(Entries!O27='Correct Answers'!B15,1,0)+IF(Entries!P27='Correct Answers'!B16,1,0)+IF(Entries!Q27='Correct Answers'!B17,1,0))</f>
        <v>0</v>
      </c>
      <c r="R27" s="1" t="n">
        <f aca="false">2*(IF(Entries!R27='Correct Answers'!B18,1,0)+IF(Entries!S27='Correct Answers'!B19,1,0))</f>
        <v>0</v>
      </c>
      <c r="S27" s="21" t="n">
        <f aca="false">IF(Entries!T27='Correct Answers'!B20,2,0)</f>
        <v>0</v>
      </c>
      <c r="T27" s="21" t="n">
        <f aca="false">IF(Entries!U27='Correct Answers'!B21,2,0)</f>
        <v>0</v>
      </c>
      <c r="U27" s="21" t="n">
        <f aca="false">IF(Entries!V27='Correct Answers'!B22,2,0)</f>
        <v>0</v>
      </c>
      <c r="V27" s="21" t="n">
        <f aca="false">Entries!W27-'Correct Answers'!B23</f>
        <v>227</v>
      </c>
    </row>
    <row r="28" customFormat="false" ht="15" hidden="false" customHeight="false" outlineLevel="0" collapsed="false">
      <c r="A28" s="26" t="str">
        <f aca="false">Entries!A28</f>
        <v>Neil Keelan</v>
      </c>
      <c r="B28" s="1" t="n">
        <f aca="false">SUM(E28:U28)</f>
        <v>2</v>
      </c>
      <c r="E28" s="1" t="n">
        <f aca="false">IF(Entries!B28='Correct Answers'!B2,2,0)</f>
        <v>0</v>
      </c>
      <c r="F28" s="1" t="n">
        <f aca="false">IF(Entries!C28='Correct Answers'!B3,2,0)</f>
        <v>0</v>
      </c>
      <c r="G28" s="1" t="n">
        <f aca="false">IF(Entries!D28='Correct Answers'!B4,2,0)</f>
        <v>0</v>
      </c>
      <c r="H28" s="1" t="n">
        <f aca="false">IF(Entries!E28='Correct Answers'!B5,2,0)</f>
        <v>0</v>
      </c>
      <c r="I28" s="1" t="n">
        <f aca="false">IF(Entries!F28='Correct Answers'!B6,2,0)</f>
        <v>0</v>
      </c>
      <c r="J28" s="21" t="n">
        <f aca="false">IF(Entries!G28='Correct Answers'!B7,2,0)</f>
        <v>0</v>
      </c>
      <c r="K28" s="21" t="n">
        <f aca="false">IF(Entries!H28='Correct Answers'!B8,2,0)</f>
        <v>0</v>
      </c>
      <c r="L28" s="21" t="n">
        <f aca="false">IF(Entries!I28='Correct Answers'!B9,2,0)</f>
        <v>0</v>
      </c>
      <c r="M28" s="21" t="n">
        <f aca="false">IF(Entries!J28='Correct Answers'!B10,2,0)</f>
        <v>0</v>
      </c>
      <c r="N28" s="21" t="n">
        <f aca="false">IF(Entries!K28='Correct Answers'!B11,2,0)</f>
        <v>0</v>
      </c>
      <c r="O28" s="21" t="n">
        <f aca="false">IF(Entries!L28='Correct Answers'!B12,2,0)</f>
        <v>0</v>
      </c>
      <c r="P28" s="21" t="n">
        <f aca="false">IF(Entries!M28='Correct Answers'!B13,2,0)</f>
        <v>0</v>
      </c>
      <c r="Q28" s="1" t="n">
        <f aca="false">2*(IF(Entries!N28='Correct Answers'!B14,1,0)+IF(Entries!O28='Correct Answers'!B15,1,0)+IF(Entries!P28='Correct Answers'!B16,1,0)+IF(Entries!Q28='Correct Answers'!B17,1,0))</f>
        <v>0</v>
      </c>
      <c r="R28" s="1" t="n">
        <f aca="false">2*(IF(Entries!R28='Correct Answers'!B18,1,0)+IF(Entries!S28='Correct Answers'!B19,1,0))</f>
        <v>0</v>
      </c>
      <c r="S28" s="21" t="n">
        <f aca="false">IF(Entries!T28='Correct Answers'!B20,2,0)</f>
        <v>0</v>
      </c>
      <c r="T28" s="21" t="n">
        <f aca="false">IF(Entries!U28='Correct Answers'!B21,2,0)</f>
        <v>0</v>
      </c>
      <c r="U28" s="21" t="n">
        <f aca="false">IF(Entries!V28='Correct Answers'!B22,2,0)</f>
        <v>2</v>
      </c>
      <c r="V28" s="21" t="n">
        <f aca="false">Entries!W28-'Correct Answers'!B23</f>
        <v>222</v>
      </c>
    </row>
    <row r="29" customFormat="false" ht="15" hidden="false" customHeight="false" outlineLevel="0" collapsed="false">
      <c r="A29" s="26" t="str">
        <f aca="false">Entries!A29</f>
        <v>Terresa Baker</v>
      </c>
      <c r="B29" s="1" t="n">
        <f aca="false">SUM(E29:U29)</f>
        <v>0</v>
      </c>
      <c r="E29" s="1" t="n">
        <f aca="false">IF(Entries!B29='Correct Answers'!B2,2,0)</f>
        <v>0</v>
      </c>
      <c r="F29" s="1" t="n">
        <f aca="false">IF(Entries!C29='Correct Answers'!B3,2,0)</f>
        <v>0</v>
      </c>
      <c r="G29" s="1" t="n">
        <f aca="false">IF(Entries!D29='Correct Answers'!B4,2,0)</f>
        <v>0</v>
      </c>
      <c r="H29" s="1" t="n">
        <f aca="false">IF(Entries!E29='Correct Answers'!B5,2,0)</f>
        <v>0</v>
      </c>
      <c r="I29" s="1" t="n">
        <f aca="false">IF(Entries!F29='Correct Answers'!B6,2,0)</f>
        <v>0</v>
      </c>
      <c r="J29" s="21" t="n">
        <f aca="false">IF(Entries!G29='Correct Answers'!B7,2,0)</f>
        <v>0</v>
      </c>
      <c r="K29" s="21" t="n">
        <f aca="false">IF(Entries!H29='Correct Answers'!B8,2,0)</f>
        <v>0</v>
      </c>
      <c r="L29" s="21" t="n">
        <f aca="false">IF(Entries!I29='Correct Answers'!B9,2,0)</f>
        <v>0</v>
      </c>
      <c r="M29" s="21" t="n">
        <f aca="false">IF(Entries!J29='Correct Answers'!B10,2,0)</f>
        <v>0</v>
      </c>
      <c r="N29" s="21" t="n">
        <f aca="false">IF(Entries!K29='Correct Answers'!B11,2,0)</f>
        <v>0</v>
      </c>
      <c r="O29" s="21" t="n">
        <f aca="false">IF(Entries!L29='Correct Answers'!B12,2,0)</f>
        <v>0</v>
      </c>
      <c r="P29" s="21" t="n">
        <f aca="false">IF(Entries!M29='Correct Answers'!B13,2,0)</f>
        <v>0</v>
      </c>
      <c r="Q29" s="1" t="n">
        <f aca="false">2*(IF(Entries!N29='Correct Answers'!B14,1,0)+IF(Entries!O29='Correct Answers'!B15,1,0)+IF(Entries!P29='Correct Answers'!B16,1,0)+IF(Entries!Q29='Correct Answers'!B17,1,0))</f>
        <v>0</v>
      </c>
      <c r="R29" s="1" t="n">
        <f aca="false">2*(IF(Entries!R29='Correct Answers'!B18,1,0)+IF(Entries!S29='Correct Answers'!B19,1,0))</f>
        <v>0</v>
      </c>
      <c r="S29" s="21" t="n">
        <f aca="false">IF(Entries!T29='Correct Answers'!B20,2,0)</f>
        <v>0</v>
      </c>
      <c r="T29" s="21" t="n">
        <f aca="false">IF(Entries!U29='Correct Answers'!B21,2,0)</f>
        <v>0</v>
      </c>
      <c r="U29" s="21" t="n">
        <f aca="false">IF(Entries!V29='Correct Answers'!B22,2,0)</f>
        <v>0</v>
      </c>
      <c r="V29" s="21" t="n">
        <f aca="false">Entries!W29-'Correct Answers'!B23</f>
        <v>204</v>
      </c>
    </row>
    <row r="30" customFormat="false" ht="15" hidden="false" customHeight="false" outlineLevel="0" collapsed="false">
      <c r="A30" s="26" t="str">
        <f aca="false">Entries!A30</f>
        <v>Steph Cawte</v>
      </c>
      <c r="B30" s="1" t="n">
        <f aca="false">SUM(E30:U30)</f>
        <v>0</v>
      </c>
      <c r="E30" s="1" t="n">
        <f aca="false">IF(Entries!B30='Correct Answers'!B2,2,0)</f>
        <v>0</v>
      </c>
      <c r="F30" s="1" t="n">
        <f aca="false">IF(Entries!C30='Correct Answers'!B3,2,0)</f>
        <v>0</v>
      </c>
      <c r="G30" s="1" t="n">
        <f aca="false">IF(Entries!D30='Correct Answers'!B4,2,0)</f>
        <v>0</v>
      </c>
      <c r="H30" s="1" t="n">
        <f aca="false">IF(Entries!E30='Correct Answers'!B5,2,0)</f>
        <v>0</v>
      </c>
      <c r="I30" s="1" t="n">
        <f aca="false">IF(Entries!F30='Correct Answers'!B6,2,0)</f>
        <v>0</v>
      </c>
      <c r="J30" s="21" t="n">
        <f aca="false">IF(Entries!G30='Correct Answers'!B7,2,0)</f>
        <v>0</v>
      </c>
      <c r="K30" s="21" t="n">
        <f aca="false">IF(Entries!H30='Correct Answers'!B8,2,0)</f>
        <v>0</v>
      </c>
      <c r="L30" s="21" t="n">
        <f aca="false">IF(Entries!I30='Correct Answers'!B9,2,0)</f>
        <v>0</v>
      </c>
      <c r="M30" s="21" t="n">
        <f aca="false">IF(Entries!J30='Correct Answers'!B10,2,0)</f>
        <v>0</v>
      </c>
      <c r="N30" s="21" t="n">
        <f aca="false">IF(Entries!K30='Correct Answers'!B11,2,0)</f>
        <v>0</v>
      </c>
      <c r="O30" s="21" t="n">
        <f aca="false">IF(Entries!L30='Correct Answers'!B12,2,0)</f>
        <v>0</v>
      </c>
      <c r="P30" s="21" t="n">
        <f aca="false">IF(Entries!M30='Correct Answers'!B13,2,0)</f>
        <v>0</v>
      </c>
      <c r="Q30" s="1" t="n">
        <f aca="false">2*(IF(Entries!N30='Correct Answers'!B14,1,0)+IF(Entries!O30='Correct Answers'!B15,1,0)+IF(Entries!P30='Correct Answers'!B16,1,0)+IF(Entries!Q30='Correct Answers'!B17,1,0))</f>
        <v>0</v>
      </c>
      <c r="R30" s="1" t="n">
        <f aca="false">2*(IF(Entries!R30='Correct Answers'!B18,1,0)+IF(Entries!S30='Correct Answers'!B19,1,0))</f>
        <v>0</v>
      </c>
      <c r="S30" s="21" t="n">
        <f aca="false">IF(Entries!T30='Correct Answers'!B20,2,0)</f>
        <v>0</v>
      </c>
      <c r="T30" s="21" t="n">
        <f aca="false">IF(Entries!U30='Correct Answers'!B21,2,0)</f>
        <v>0</v>
      </c>
      <c r="U30" s="21" t="n">
        <f aca="false">IF(Entries!V30='Correct Answers'!B22,2,0)</f>
        <v>0</v>
      </c>
      <c r="V30" s="21" t="n">
        <f aca="false">Entries!W30-'Correct Answers'!B23</f>
        <v>131</v>
      </c>
    </row>
    <row r="31" customFormat="false" ht="15" hidden="false" customHeight="false" outlineLevel="0" collapsed="false">
      <c r="A31" s="26" t="str">
        <f aca="false">Entries!A31</f>
        <v>Sam Flower</v>
      </c>
      <c r="B31" s="1" t="n">
        <f aca="false">SUM(E31:U31)</f>
        <v>0</v>
      </c>
      <c r="E31" s="1" t="n">
        <f aca="false">IF(Entries!B31='Correct Answers'!B2,2,0)</f>
        <v>0</v>
      </c>
      <c r="F31" s="1" t="n">
        <f aca="false">IF(Entries!C31='Correct Answers'!B3,2,0)</f>
        <v>0</v>
      </c>
      <c r="G31" s="1" t="n">
        <f aca="false">IF(Entries!D31='Correct Answers'!B4,2,0)</f>
        <v>0</v>
      </c>
      <c r="H31" s="1" t="n">
        <f aca="false">IF(Entries!E31='Correct Answers'!B5,2,0)</f>
        <v>0</v>
      </c>
      <c r="I31" s="1" t="n">
        <f aca="false">IF(Entries!F31='Correct Answers'!B6,2,0)</f>
        <v>0</v>
      </c>
      <c r="J31" s="21" t="n">
        <f aca="false">IF(Entries!G31='Correct Answers'!B7,2,0)</f>
        <v>0</v>
      </c>
      <c r="K31" s="21" t="n">
        <f aca="false">IF(Entries!H31='Correct Answers'!B8,2,0)</f>
        <v>0</v>
      </c>
      <c r="L31" s="21" t="n">
        <f aca="false">IF(Entries!I31='Correct Answers'!B9,2,0)</f>
        <v>0</v>
      </c>
      <c r="M31" s="21" t="n">
        <f aca="false">IF(Entries!J31='Correct Answers'!B10,2,0)</f>
        <v>0</v>
      </c>
      <c r="N31" s="21" t="n">
        <f aca="false">IF(Entries!K31='Correct Answers'!B11,2,0)</f>
        <v>0</v>
      </c>
      <c r="O31" s="21" t="n">
        <f aca="false">IF(Entries!L31='Correct Answers'!B12,2,0)</f>
        <v>0</v>
      </c>
      <c r="P31" s="21" t="n">
        <f aca="false">IF(Entries!M31='Correct Answers'!B13,2,0)</f>
        <v>0</v>
      </c>
      <c r="Q31" s="1" t="n">
        <f aca="false">2*(IF(Entries!N31='Correct Answers'!B14,1,0)+IF(Entries!O31='Correct Answers'!B15,1,0)+IF(Entries!P31='Correct Answers'!B16,1,0)+IF(Entries!Q31='Correct Answers'!B17,1,0))</f>
        <v>0</v>
      </c>
      <c r="R31" s="1" t="n">
        <f aca="false">2*(IF(Entries!R31='Correct Answers'!B18,1,0)+IF(Entries!S31='Correct Answers'!B19,1,0))</f>
        <v>0</v>
      </c>
      <c r="S31" s="21" t="n">
        <f aca="false">IF(Entries!T31='Correct Answers'!B20,2,0)</f>
        <v>0</v>
      </c>
      <c r="T31" s="21" t="n">
        <f aca="false">IF(Entries!U31='Correct Answers'!B21,2,0)</f>
        <v>0</v>
      </c>
      <c r="U31" s="21" t="n">
        <f aca="false">IF(Entries!V31='Correct Answers'!B22,2,0)</f>
        <v>0</v>
      </c>
      <c r="V31" s="21" t="n">
        <f aca="false">Entries!W31-'Correct Answers'!B23</f>
        <v>165</v>
      </c>
    </row>
    <row r="32" customFormat="false" ht="15" hidden="false" customHeight="false" outlineLevel="0" collapsed="false">
      <c r="A32" s="26" t="str">
        <f aca="false">Entries!A32</f>
        <v>Martin Fallon</v>
      </c>
      <c r="B32" s="1" t="n">
        <f aca="false">SUM(E32:U32)</f>
        <v>0</v>
      </c>
      <c r="E32" s="1" t="n">
        <f aca="false">IF(Entries!B32='Correct Answers'!B2,2,0)</f>
        <v>0</v>
      </c>
      <c r="F32" s="1" t="n">
        <f aca="false">IF(Entries!C32='Correct Answers'!B3,2,0)</f>
        <v>0</v>
      </c>
      <c r="G32" s="1" t="n">
        <f aca="false">IF(Entries!D32='Correct Answers'!B4,2,0)</f>
        <v>0</v>
      </c>
      <c r="H32" s="1" t="n">
        <f aca="false">IF(Entries!E32='Correct Answers'!B5,2,0)</f>
        <v>0</v>
      </c>
      <c r="I32" s="1" t="n">
        <f aca="false">IF(Entries!F32='Correct Answers'!B6,2,0)</f>
        <v>0</v>
      </c>
      <c r="J32" s="21" t="n">
        <f aca="false">IF(Entries!G32='Correct Answers'!B7,2,0)</f>
        <v>0</v>
      </c>
      <c r="K32" s="21" t="n">
        <f aca="false">IF(Entries!H32='Correct Answers'!B8,2,0)</f>
        <v>0</v>
      </c>
      <c r="L32" s="21" t="n">
        <f aca="false">IF(Entries!I32='Correct Answers'!B9,2,0)</f>
        <v>0</v>
      </c>
      <c r="M32" s="21" t="n">
        <f aca="false">IF(Entries!J32='Correct Answers'!B10,2,0)</f>
        <v>0</v>
      </c>
      <c r="N32" s="21" t="n">
        <f aca="false">IF(Entries!K32='Correct Answers'!B11,2,0)</f>
        <v>0</v>
      </c>
      <c r="O32" s="21" t="n">
        <f aca="false">IF(Entries!L32='Correct Answers'!B12,2,0)</f>
        <v>0</v>
      </c>
      <c r="P32" s="21" t="n">
        <f aca="false">IF(Entries!M32='Correct Answers'!B13,2,0)</f>
        <v>0</v>
      </c>
      <c r="Q32" s="1" t="n">
        <f aca="false">2*(IF(Entries!N32='Correct Answers'!B14,1,0)+IF(Entries!O32='Correct Answers'!B15,1,0)+IF(Entries!P32='Correct Answers'!B16,1,0)+IF(Entries!Q32='Correct Answers'!B17,1,0))</f>
        <v>0</v>
      </c>
      <c r="R32" s="1" t="n">
        <f aca="false">2*(IF(Entries!R32='Correct Answers'!B18,1,0)+IF(Entries!S32='Correct Answers'!B19,1,0))</f>
        <v>0</v>
      </c>
      <c r="S32" s="21" t="n">
        <f aca="false">IF(Entries!T32='Correct Answers'!B20,2,0)</f>
        <v>0</v>
      </c>
      <c r="T32" s="21" t="n">
        <f aca="false">IF(Entries!U32='Correct Answers'!B21,2,0)</f>
        <v>0</v>
      </c>
      <c r="U32" s="21" t="n">
        <f aca="false">IF(Entries!V32='Correct Answers'!B22,2,0)</f>
        <v>0</v>
      </c>
      <c r="V32" s="21" t="n">
        <f aca="false">Entries!W32-'Correct Answers'!B23</f>
        <v>253</v>
      </c>
    </row>
    <row r="33" customFormat="false" ht="15" hidden="false" customHeight="false" outlineLevel="0" collapsed="false">
      <c r="A33" s="26" t="str">
        <f aca="false">Entries!A33</f>
        <v>Ed Burthem</v>
      </c>
      <c r="B33" s="1" t="n">
        <f aca="false">SUM(E33:U33)</f>
        <v>2</v>
      </c>
      <c r="E33" s="1" t="n">
        <f aca="false">IF(Entries!B33='Correct Answers'!B2,2,0)</f>
        <v>0</v>
      </c>
      <c r="F33" s="1" t="n">
        <f aca="false">IF(Entries!C33='Correct Answers'!B3,2,0)</f>
        <v>0</v>
      </c>
      <c r="G33" s="1" t="n">
        <f aca="false">IF(Entries!D33='Correct Answers'!B4,2,0)</f>
        <v>0</v>
      </c>
      <c r="H33" s="1" t="n">
        <f aca="false">IF(Entries!E33='Correct Answers'!B5,2,0)</f>
        <v>0</v>
      </c>
      <c r="I33" s="1" t="n">
        <f aca="false">IF(Entries!F33='Correct Answers'!B6,2,0)</f>
        <v>0</v>
      </c>
      <c r="J33" s="21" t="n">
        <f aca="false">IF(Entries!G33='Correct Answers'!B7,2,0)</f>
        <v>0</v>
      </c>
      <c r="K33" s="21" t="n">
        <f aca="false">IF(Entries!H33='Correct Answers'!B8,2,0)</f>
        <v>0</v>
      </c>
      <c r="L33" s="21" t="n">
        <f aca="false">IF(Entries!I33='Correct Answers'!B9,2,0)</f>
        <v>0</v>
      </c>
      <c r="M33" s="21" t="n">
        <f aca="false">IF(Entries!J33='Correct Answers'!B10,2,0)</f>
        <v>0</v>
      </c>
      <c r="N33" s="21" t="n">
        <f aca="false">IF(Entries!K33='Correct Answers'!B11,2,0)</f>
        <v>0</v>
      </c>
      <c r="O33" s="21" t="n">
        <f aca="false">IF(Entries!L33='Correct Answers'!B12,2,0)</f>
        <v>0</v>
      </c>
      <c r="P33" s="21" t="n">
        <f aca="false">IF(Entries!M33='Correct Answers'!B13,2,0)</f>
        <v>0</v>
      </c>
      <c r="Q33" s="1" t="n">
        <f aca="false">2*(IF(Entries!N33='Correct Answers'!B14,1,0)+IF(Entries!O33='Correct Answers'!B15,1,0)+IF(Entries!P33='Correct Answers'!B16,1,0)+IF(Entries!Q33='Correct Answers'!B17,1,0))</f>
        <v>0</v>
      </c>
      <c r="R33" s="1" t="n">
        <f aca="false">2*(IF(Entries!R33='Correct Answers'!B18,1,0)+IF(Entries!S33='Correct Answers'!B19,1,0))</f>
        <v>0</v>
      </c>
      <c r="S33" s="21" t="n">
        <f aca="false">IF(Entries!T33='Correct Answers'!B20,2,0)</f>
        <v>0</v>
      </c>
      <c r="T33" s="21" t="n">
        <f aca="false">IF(Entries!U33='Correct Answers'!B21,2,0)</f>
        <v>0</v>
      </c>
      <c r="U33" s="21" t="n">
        <f aca="false">IF(Entries!V33='Correct Answers'!B22,2,0)</f>
        <v>2</v>
      </c>
      <c r="V33" s="21" t="n">
        <f aca="false">Entries!W33-'Correct Answers'!B23</f>
        <v>180</v>
      </c>
    </row>
    <row r="34" customFormat="false" ht="15" hidden="false" customHeight="false" outlineLevel="0" collapsed="false">
      <c r="A34" s="26" t="str">
        <f aca="false">Entries!A34</f>
        <v>Dylan Green</v>
      </c>
      <c r="B34" s="1" t="n">
        <f aca="false">SUM(E34:U34)</f>
        <v>0</v>
      </c>
      <c r="E34" s="1" t="n">
        <f aca="false">IF(Entries!B34='Correct Answers'!B2,2,0)</f>
        <v>0</v>
      </c>
      <c r="F34" s="1" t="n">
        <f aca="false">IF(Entries!C34='Correct Answers'!B3,2,0)</f>
        <v>0</v>
      </c>
      <c r="G34" s="1" t="n">
        <f aca="false">IF(Entries!D34='Correct Answers'!B4,2,0)</f>
        <v>0</v>
      </c>
      <c r="H34" s="1" t="n">
        <f aca="false">IF(Entries!E34='Correct Answers'!B5,2,0)</f>
        <v>0</v>
      </c>
      <c r="I34" s="1" t="n">
        <f aca="false">IF(Entries!F34='Correct Answers'!B6,2,0)</f>
        <v>0</v>
      </c>
      <c r="J34" s="21" t="n">
        <f aca="false">IF(Entries!G34='Correct Answers'!B7,2,0)</f>
        <v>0</v>
      </c>
      <c r="K34" s="21" t="n">
        <f aca="false">IF(Entries!H34='Correct Answers'!B8,2,0)</f>
        <v>0</v>
      </c>
      <c r="L34" s="21" t="n">
        <f aca="false">IF(Entries!I34='Correct Answers'!B9,2,0)</f>
        <v>0</v>
      </c>
      <c r="M34" s="21" t="n">
        <f aca="false">IF(Entries!J34='Correct Answers'!B10,2,0)</f>
        <v>0</v>
      </c>
      <c r="N34" s="21" t="n">
        <f aca="false">IF(Entries!K34='Correct Answers'!B11,2,0)</f>
        <v>0</v>
      </c>
      <c r="O34" s="21" t="n">
        <f aca="false">IF(Entries!L34='Correct Answers'!B12,2,0)</f>
        <v>0</v>
      </c>
      <c r="P34" s="21" t="n">
        <f aca="false">IF(Entries!M34='Correct Answers'!B13,2,0)</f>
        <v>0</v>
      </c>
      <c r="Q34" s="1" t="n">
        <f aca="false">2*(IF(Entries!N34='Correct Answers'!B14,1,0)+IF(Entries!O34='Correct Answers'!B15,1,0)+IF(Entries!P34='Correct Answers'!B16,1,0)+IF(Entries!Q34='Correct Answers'!B17,1,0))</f>
        <v>0</v>
      </c>
      <c r="R34" s="1" t="n">
        <f aca="false">2*(IF(Entries!R34='Correct Answers'!B18,1,0)+IF(Entries!S34='Correct Answers'!B19,1,0))</f>
        <v>0</v>
      </c>
      <c r="S34" s="21" t="n">
        <f aca="false">IF(Entries!T34='Correct Answers'!B20,2,0)</f>
        <v>0</v>
      </c>
      <c r="T34" s="21" t="n">
        <f aca="false">IF(Entries!U34='Correct Answers'!B21,2,0)</f>
        <v>0</v>
      </c>
      <c r="U34" s="21" t="n">
        <f aca="false">IF(Entries!V34='Correct Answers'!B22,2,0)</f>
        <v>0</v>
      </c>
      <c r="V34" s="21" t="n">
        <f aca="false">Entries!W34-'Correct Answers'!B23</f>
        <v>241</v>
      </c>
    </row>
    <row r="35" customFormat="false" ht="15" hidden="false" customHeight="false" outlineLevel="0" collapsed="false">
      <c r="A35" s="26" t="str">
        <f aca="false">Entries!A35</f>
        <v>Matthew Green</v>
      </c>
      <c r="B35" s="1" t="n">
        <f aca="false">SUM(E35:U35)</f>
        <v>0</v>
      </c>
      <c r="E35" s="1" t="n">
        <f aca="false">IF(Entries!B35='Correct Answers'!B2,2,0)</f>
        <v>0</v>
      </c>
      <c r="F35" s="1" t="n">
        <f aca="false">IF(Entries!C35='Correct Answers'!B3,2,0)</f>
        <v>0</v>
      </c>
      <c r="G35" s="1" t="n">
        <f aca="false">IF(Entries!D35='Correct Answers'!B4,2,0)</f>
        <v>0</v>
      </c>
      <c r="H35" s="1" t="n">
        <f aca="false">IF(Entries!E35='Correct Answers'!B5,2,0)</f>
        <v>0</v>
      </c>
      <c r="I35" s="1" t="n">
        <f aca="false">IF(Entries!F35='Correct Answers'!B6,2,0)</f>
        <v>0</v>
      </c>
      <c r="J35" s="21" t="n">
        <f aca="false">IF(Entries!G35='Correct Answers'!B7,2,0)</f>
        <v>0</v>
      </c>
      <c r="K35" s="21" t="n">
        <f aca="false">IF(Entries!H35='Correct Answers'!B8,2,0)</f>
        <v>0</v>
      </c>
      <c r="L35" s="21" t="n">
        <f aca="false">IF(Entries!I35='Correct Answers'!B9,2,0)</f>
        <v>0</v>
      </c>
      <c r="M35" s="21" t="n">
        <f aca="false">IF(Entries!J35='Correct Answers'!B10,2,0)</f>
        <v>0</v>
      </c>
      <c r="N35" s="21" t="n">
        <f aca="false">IF(Entries!K35='Correct Answers'!B11,2,0)</f>
        <v>0</v>
      </c>
      <c r="O35" s="21" t="n">
        <f aca="false">IF(Entries!L35='Correct Answers'!B12,2,0)</f>
        <v>0</v>
      </c>
      <c r="P35" s="21" t="n">
        <f aca="false">IF(Entries!M35='Correct Answers'!B13,2,0)</f>
        <v>0</v>
      </c>
      <c r="Q35" s="1" t="n">
        <f aca="false">2*(IF(Entries!N35='Correct Answers'!B14,1,0)+IF(Entries!O35='Correct Answers'!B15,1,0)+IF(Entries!P35='Correct Answers'!B16,1,0)+IF(Entries!Q35='Correct Answers'!B17,1,0))</f>
        <v>0</v>
      </c>
      <c r="R35" s="1" t="n">
        <f aca="false">2*(IF(Entries!R35='Correct Answers'!B18,1,0)+IF(Entries!S35='Correct Answers'!B19,1,0))</f>
        <v>0</v>
      </c>
      <c r="S35" s="21" t="n">
        <f aca="false">IF(Entries!T35='Correct Answers'!B20,2,0)</f>
        <v>0</v>
      </c>
      <c r="T35" s="21" t="n">
        <f aca="false">IF(Entries!U35='Correct Answers'!B21,2,0)</f>
        <v>0</v>
      </c>
      <c r="U35" s="21" t="n">
        <f aca="false">IF(Entries!V35='Correct Answers'!B22,2,0)</f>
        <v>0</v>
      </c>
      <c r="V35" s="21" t="n">
        <f aca="false">Entries!W35-'Correct Answers'!B23</f>
        <v>-24</v>
      </c>
    </row>
    <row r="36" customFormat="false" ht="15" hidden="false" customHeight="false" outlineLevel="0" collapsed="false">
      <c r="A36" s="26" t="str">
        <f aca="false">Entries!A36</f>
        <v>Thomas Green</v>
      </c>
      <c r="B36" s="1" t="n">
        <f aca="false">SUM(E36:U36)</f>
        <v>0</v>
      </c>
      <c r="E36" s="1" t="n">
        <f aca="false">IF(Entries!B36='Correct Answers'!B2,2,0)</f>
        <v>0</v>
      </c>
      <c r="F36" s="1" t="n">
        <f aca="false">IF(Entries!C36='Correct Answers'!B3,2,0)</f>
        <v>0</v>
      </c>
      <c r="G36" s="1" t="n">
        <f aca="false">IF(Entries!D36='Correct Answers'!B4,2,0)</f>
        <v>0</v>
      </c>
      <c r="H36" s="1" t="n">
        <f aca="false">IF(Entries!E36='Correct Answers'!B5,2,0)</f>
        <v>0</v>
      </c>
      <c r="I36" s="1" t="n">
        <f aca="false">IF(Entries!F36='Correct Answers'!B6,2,0)</f>
        <v>0</v>
      </c>
      <c r="J36" s="21" t="n">
        <f aca="false">IF(Entries!G36='Correct Answers'!B7,2,0)</f>
        <v>0</v>
      </c>
      <c r="K36" s="21" t="n">
        <f aca="false">IF(Entries!H36='Correct Answers'!B8,2,0)</f>
        <v>0</v>
      </c>
      <c r="L36" s="21" t="n">
        <f aca="false">IF(Entries!I36='Correct Answers'!B9,2,0)</f>
        <v>0</v>
      </c>
      <c r="M36" s="21" t="n">
        <f aca="false">IF(Entries!J36='Correct Answers'!B10,2,0)</f>
        <v>0</v>
      </c>
      <c r="N36" s="21" t="n">
        <f aca="false">IF(Entries!K36='Correct Answers'!B11,2,0)</f>
        <v>0</v>
      </c>
      <c r="O36" s="21" t="n">
        <f aca="false">IF(Entries!L36='Correct Answers'!B12,2,0)</f>
        <v>0</v>
      </c>
      <c r="P36" s="21" t="n">
        <f aca="false">IF(Entries!M36='Correct Answers'!B13,2,0)</f>
        <v>0</v>
      </c>
      <c r="Q36" s="1" t="n">
        <f aca="false">2*(IF(Entries!N36='Correct Answers'!B14,1,0)+IF(Entries!O36='Correct Answers'!B15,1,0)+IF(Entries!P36='Correct Answers'!B16,1,0)+IF(Entries!Q36='Correct Answers'!B17,1,0))</f>
        <v>0</v>
      </c>
      <c r="R36" s="1" t="n">
        <f aca="false">2*(IF(Entries!R36='Correct Answers'!B18,1,0)+IF(Entries!S36='Correct Answers'!B19,1,0))</f>
        <v>0</v>
      </c>
      <c r="S36" s="21" t="n">
        <f aca="false">IF(Entries!T36='Correct Answers'!B20,2,0)</f>
        <v>0</v>
      </c>
      <c r="T36" s="21" t="n">
        <f aca="false">IF(Entries!U36='Correct Answers'!B21,2,0)</f>
        <v>0</v>
      </c>
      <c r="U36" s="21" t="n">
        <f aca="false">IF(Entries!V36='Correct Answers'!B22,2,0)</f>
        <v>0</v>
      </c>
      <c r="V36" s="21" t="n">
        <f aca="false">Entries!W36-'Correct Answers'!B23</f>
        <v>312</v>
      </c>
    </row>
    <row r="37" customFormat="false" ht="15" hidden="false" customHeight="false" outlineLevel="0" collapsed="false">
      <c r="A37" s="26" t="str">
        <f aca="false">Entries!A37</f>
        <v>Stewart Halliday</v>
      </c>
      <c r="B37" s="1" t="n">
        <f aca="false">SUM(E37:U37)</f>
        <v>2</v>
      </c>
      <c r="E37" s="1" t="n">
        <f aca="false">IF(Entries!B37='Correct Answers'!B2,2,0)</f>
        <v>0</v>
      </c>
      <c r="F37" s="1" t="n">
        <f aca="false">IF(Entries!C37='Correct Answers'!B3,2,0)</f>
        <v>0</v>
      </c>
      <c r="G37" s="1" t="n">
        <f aca="false">IF(Entries!D37='Correct Answers'!B4,2,0)</f>
        <v>0</v>
      </c>
      <c r="H37" s="1" t="n">
        <f aca="false">IF(Entries!E37='Correct Answers'!B5,2,0)</f>
        <v>0</v>
      </c>
      <c r="I37" s="1" t="n">
        <f aca="false">IF(Entries!F37='Correct Answers'!B6,2,0)</f>
        <v>0</v>
      </c>
      <c r="J37" s="21" t="n">
        <f aca="false">IF(Entries!G37='Correct Answers'!B7,2,0)</f>
        <v>0</v>
      </c>
      <c r="K37" s="21" t="n">
        <f aca="false">IF(Entries!H37='Correct Answers'!B8,2,0)</f>
        <v>0</v>
      </c>
      <c r="L37" s="21" t="n">
        <f aca="false">IF(Entries!I37='Correct Answers'!B9,2,0)</f>
        <v>0</v>
      </c>
      <c r="M37" s="21" t="n">
        <f aca="false">IF(Entries!J37='Correct Answers'!B10,2,0)</f>
        <v>0</v>
      </c>
      <c r="N37" s="21" t="n">
        <f aca="false">IF(Entries!K37='Correct Answers'!B11,2,0)</f>
        <v>0</v>
      </c>
      <c r="O37" s="21" t="n">
        <f aca="false">IF(Entries!L37='Correct Answers'!B12,2,0)</f>
        <v>0</v>
      </c>
      <c r="P37" s="21" t="n">
        <f aca="false">IF(Entries!M37='Correct Answers'!B13,2,0)</f>
        <v>0</v>
      </c>
      <c r="Q37" s="1" t="n">
        <f aca="false">2*(IF(Entries!N37='Correct Answers'!B14,1,0)+IF(Entries!O37='Correct Answers'!B15,1,0)+IF(Entries!P37='Correct Answers'!B16,1,0)+IF(Entries!Q37='Correct Answers'!B17,1,0))</f>
        <v>0</v>
      </c>
      <c r="R37" s="1" t="n">
        <f aca="false">2*(IF(Entries!R37='Correct Answers'!B18,1,0)+IF(Entries!S37='Correct Answers'!B19,1,0))</f>
        <v>0</v>
      </c>
      <c r="S37" s="21" t="n">
        <f aca="false">IF(Entries!T37='Correct Answers'!B20,2,0)</f>
        <v>0</v>
      </c>
      <c r="T37" s="21" t="n">
        <f aca="false">IF(Entries!U37='Correct Answers'!B21,2,0)</f>
        <v>0</v>
      </c>
      <c r="U37" s="21" t="n">
        <f aca="false">IF(Entries!V37='Correct Answers'!B22,2,0)</f>
        <v>2</v>
      </c>
      <c r="V37" s="21" t="n">
        <f aca="false">Entries!W37-'Correct Answers'!B23</f>
        <v>259</v>
      </c>
    </row>
    <row r="38" customFormat="false" ht="15" hidden="false" customHeight="false" outlineLevel="0" collapsed="false">
      <c r="A38" s="26" t="str">
        <f aca="false">Entries!A38</f>
        <v>Robert Moore</v>
      </c>
      <c r="B38" s="1" t="n">
        <f aca="false">SUM(E38:U38)</f>
        <v>0</v>
      </c>
      <c r="E38" s="1" t="n">
        <f aca="false">IF(Entries!B38='Correct Answers'!B2,2,0)</f>
        <v>0</v>
      </c>
      <c r="F38" s="1" t="n">
        <f aca="false">IF(Entries!C38='Correct Answers'!B3,2,0)</f>
        <v>0</v>
      </c>
      <c r="G38" s="1" t="n">
        <f aca="false">IF(Entries!D38='Correct Answers'!B4,2,0)</f>
        <v>0</v>
      </c>
      <c r="H38" s="1" t="n">
        <f aca="false">IF(Entries!E38='Correct Answers'!B5,2,0)</f>
        <v>0</v>
      </c>
      <c r="I38" s="1" t="n">
        <f aca="false">IF(Entries!F38='Correct Answers'!B6,2,0)</f>
        <v>0</v>
      </c>
      <c r="J38" s="21" t="n">
        <f aca="false">IF(Entries!G38='Correct Answers'!B7,2,0)</f>
        <v>0</v>
      </c>
      <c r="K38" s="21" t="n">
        <f aca="false">IF(Entries!H38='Correct Answers'!B8,2,0)</f>
        <v>0</v>
      </c>
      <c r="L38" s="21" t="n">
        <f aca="false">IF(Entries!I38='Correct Answers'!B9,2,0)</f>
        <v>0</v>
      </c>
      <c r="M38" s="21" t="n">
        <f aca="false">IF(Entries!J38='Correct Answers'!B10,2,0)</f>
        <v>0</v>
      </c>
      <c r="N38" s="21" t="n">
        <f aca="false">IF(Entries!K38='Correct Answers'!B11,2,0)</f>
        <v>0</v>
      </c>
      <c r="O38" s="21" t="n">
        <f aca="false">IF(Entries!L38='Correct Answers'!B12,2,0)</f>
        <v>0</v>
      </c>
      <c r="P38" s="21" t="n">
        <f aca="false">IF(Entries!M38='Correct Answers'!B13,2,0)</f>
        <v>0</v>
      </c>
      <c r="Q38" s="1" t="n">
        <f aca="false">2*(IF(Entries!N38='Correct Answers'!B14,1,0)+IF(Entries!O38='Correct Answers'!B15,1,0)+IF(Entries!P38='Correct Answers'!B16,1,0)+IF(Entries!Q38='Correct Answers'!B17,1,0))</f>
        <v>0</v>
      </c>
      <c r="R38" s="1" t="n">
        <f aca="false">2*(IF(Entries!R38='Correct Answers'!B18,1,0)+IF(Entries!S38='Correct Answers'!B19,1,0))</f>
        <v>0</v>
      </c>
      <c r="S38" s="21" t="n">
        <f aca="false">IF(Entries!T38='Correct Answers'!B20,2,0)</f>
        <v>0</v>
      </c>
      <c r="T38" s="21" t="n">
        <f aca="false">IF(Entries!U38='Correct Answers'!B21,2,0)</f>
        <v>0</v>
      </c>
      <c r="U38" s="21" t="n">
        <f aca="false">IF(Entries!V38='Correct Answers'!B22,2,0)</f>
        <v>0</v>
      </c>
      <c r="V38" s="21" t="n">
        <f aca="false">Entries!W38-'Correct Answers'!B23</f>
        <v>249</v>
      </c>
    </row>
    <row r="39" customFormat="false" ht="15" hidden="false" customHeight="false" outlineLevel="0" collapsed="false">
      <c r="A39" s="26" t="str">
        <f aca="false">Entries!A39</f>
        <v>Declan Preston</v>
      </c>
      <c r="B39" s="1" t="n">
        <f aca="false">SUM(E39:U39)</f>
        <v>0</v>
      </c>
      <c r="E39" s="1" t="n">
        <f aca="false">IF(Entries!B39='Correct Answers'!B2,2,0)</f>
        <v>0</v>
      </c>
      <c r="F39" s="1" t="n">
        <f aca="false">IF(Entries!C39='Correct Answers'!B3,2,0)</f>
        <v>0</v>
      </c>
      <c r="G39" s="1" t="n">
        <f aca="false">IF(Entries!D39='Correct Answers'!B4,2,0)</f>
        <v>0</v>
      </c>
      <c r="H39" s="1" t="n">
        <f aca="false">IF(Entries!E39='Correct Answers'!B5,2,0)</f>
        <v>0</v>
      </c>
      <c r="I39" s="1" t="n">
        <f aca="false">IF(Entries!F39='Correct Answers'!B6,2,0)</f>
        <v>0</v>
      </c>
      <c r="J39" s="21" t="n">
        <f aca="false">IF(Entries!G39='Correct Answers'!B7,2,0)</f>
        <v>0</v>
      </c>
      <c r="K39" s="21" t="n">
        <f aca="false">IF(Entries!H39='Correct Answers'!B8,2,0)</f>
        <v>0</v>
      </c>
      <c r="L39" s="21" t="n">
        <f aca="false">IF(Entries!I39='Correct Answers'!B9,2,0)</f>
        <v>0</v>
      </c>
      <c r="M39" s="21" t="n">
        <f aca="false">IF(Entries!J39='Correct Answers'!B10,2,0)</f>
        <v>0</v>
      </c>
      <c r="N39" s="21" t="n">
        <f aca="false">IF(Entries!K39='Correct Answers'!B11,2,0)</f>
        <v>0</v>
      </c>
      <c r="O39" s="21" t="n">
        <f aca="false">IF(Entries!L39='Correct Answers'!B12,2,0)</f>
        <v>0</v>
      </c>
      <c r="P39" s="21" t="n">
        <f aca="false">IF(Entries!M39='Correct Answers'!B13,2,0)</f>
        <v>0</v>
      </c>
      <c r="Q39" s="1" t="n">
        <f aca="false">2*(IF(Entries!N39='Correct Answers'!B14,1,0)+IF(Entries!O39='Correct Answers'!B15,1,0)+IF(Entries!P39='Correct Answers'!B16,1,0)+IF(Entries!Q39='Correct Answers'!B17,1,0))</f>
        <v>0</v>
      </c>
      <c r="R39" s="1" t="n">
        <f aca="false">2*(IF(Entries!R39='Correct Answers'!B18,1,0)+IF(Entries!S39='Correct Answers'!B19,1,0))</f>
        <v>0</v>
      </c>
      <c r="S39" s="21" t="n">
        <f aca="false">IF(Entries!T39='Correct Answers'!B20,2,0)</f>
        <v>0</v>
      </c>
      <c r="T39" s="21" t="n">
        <f aca="false">IF(Entries!U39='Correct Answers'!B21,2,0)</f>
        <v>0</v>
      </c>
      <c r="U39" s="21" t="n">
        <f aca="false">IF(Entries!V39='Correct Answers'!B22,2,0)</f>
        <v>0</v>
      </c>
      <c r="V39" s="21" t="n">
        <f aca="false">Entries!W39-'Correct Answers'!B23</f>
        <v>194</v>
      </c>
    </row>
    <row r="40" customFormat="false" ht="15" hidden="false" customHeight="false" outlineLevel="0" collapsed="false">
      <c r="A40" s="26" t="str">
        <f aca="false">Entries!A40</f>
        <v>Ivor Richards</v>
      </c>
      <c r="B40" s="1" t="n">
        <f aca="false">SUM(E40:U40)</f>
        <v>0</v>
      </c>
      <c r="E40" s="1" t="n">
        <f aca="false">IF(Entries!B40='Correct Answers'!B2,2,0)</f>
        <v>0</v>
      </c>
      <c r="F40" s="1" t="n">
        <f aca="false">IF(Entries!C40='Correct Answers'!B3,2,0)</f>
        <v>0</v>
      </c>
      <c r="G40" s="1" t="n">
        <f aca="false">IF(Entries!D40='Correct Answers'!B4,2,0)</f>
        <v>0</v>
      </c>
      <c r="H40" s="1" t="n">
        <f aca="false">IF(Entries!E40='Correct Answers'!B5,2,0)</f>
        <v>0</v>
      </c>
      <c r="I40" s="1" t="n">
        <f aca="false">IF(Entries!F40='Correct Answers'!B6,2,0)</f>
        <v>0</v>
      </c>
      <c r="J40" s="21" t="n">
        <f aca="false">IF(Entries!G40='Correct Answers'!B7,2,0)</f>
        <v>0</v>
      </c>
      <c r="K40" s="21" t="n">
        <f aca="false">IF(Entries!H40='Correct Answers'!B8,2,0)</f>
        <v>0</v>
      </c>
      <c r="L40" s="21" t="n">
        <f aca="false">IF(Entries!I40='Correct Answers'!B9,2,0)</f>
        <v>0</v>
      </c>
      <c r="M40" s="21" t="n">
        <f aca="false">IF(Entries!J40='Correct Answers'!B10,2,0)</f>
        <v>0</v>
      </c>
      <c r="N40" s="21" t="n">
        <f aca="false">IF(Entries!K40='Correct Answers'!B11,2,0)</f>
        <v>0</v>
      </c>
      <c r="O40" s="21" t="n">
        <f aca="false">IF(Entries!L40='Correct Answers'!B12,2,0)</f>
        <v>0</v>
      </c>
      <c r="P40" s="21" t="n">
        <f aca="false">IF(Entries!M40='Correct Answers'!B13,2,0)</f>
        <v>0</v>
      </c>
      <c r="Q40" s="1" t="n">
        <f aca="false">2*(IF(Entries!N40='Correct Answers'!B14,1,0)+IF(Entries!O40='Correct Answers'!B15,1,0)+IF(Entries!P40='Correct Answers'!B16,1,0)+IF(Entries!Q40='Correct Answers'!B17,1,0))</f>
        <v>0</v>
      </c>
      <c r="R40" s="1" t="n">
        <f aca="false">2*(IF(Entries!R40='Correct Answers'!B18,1,0)+IF(Entries!S40='Correct Answers'!B19,1,0))</f>
        <v>0</v>
      </c>
      <c r="S40" s="21" t="n">
        <f aca="false">IF(Entries!T40='Correct Answers'!B20,2,0)</f>
        <v>0</v>
      </c>
      <c r="T40" s="21" t="n">
        <f aca="false">IF(Entries!U40='Correct Answers'!B21,2,0)</f>
        <v>0</v>
      </c>
      <c r="U40" s="21" t="n">
        <f aca="false">IF(Entries!V40='Correct Answers'!B22,2,0)</f>
        <v>0</v>
      </c>
      <c r="V40" s="21" t="n">
        <f aca="false">Entries!W40-'Correct Answers'!B23</f>
        <v>193</v>
      </c>
    </row>
    <row r="41" customFormat="false" ht="15" hidden="false" customHeight="false" outlineLevel="0" collapsed="false">
      <c r="A41" s="26" t="str">
        <f aca="false">Entries!A41</f>
        <v>Mark Holdridge</v>
      </c>
      <c r="B41" s="1" t="n">
        <f aca="false">SUM(E41:U41)</f>
        <v>0</v>
      </c>
      <c r="E41" s="1" t="n">
        <f aca="false">IF(Entries!B41='Correct Answers'!B2,2,0)</f>
        <v>0</v>
      </c>
      <c r="F41" s="1" t="n">
        <f aca="false">IF(Entries!C41='Correct Answers'!B3,2,0)</f>
        <v>0</v>
      </c>
      <c r="G41" s="1" t="n">
        <f aca="false">IF(Entries!D41='Correct Answers'!B4,2,0)</f>
        <v>0</v>
      </c>
      <c r="H41" s="1" t="n">
        <f aca="false">IF(Entries!E41='Correct Answers'!B5,2,0)</f>
        <v>0</v>
      </c>
      <c r="I41" s="1" t="n">
        <f aca="false">IF(Entries!F41='Correct Answers'!B6,2,0)</f>
        <v>0</v>
      </c>
      <c r="J41" s="21" t="n">
        <f aca="false">IF(Entries!G41='Correct Answers'!B7,2,0)</f>
        <v>0</v>
      </c>
      <c r="K41" s="21" t="n">
        <f aca="false">IF(Entries!H41='Correct Answers'!B8,2,0)</f>
        <v>0</v>
      </c>
      <c r="L41" s="21" t="n">
        <f aca="false">IF(Entries!I41='Correct Answers'!B9,2,0)</f>
        <v>0</v>
      </c>
      <c r="M41" s="21" t="n">
        <f aca="false">IF(Entries!J41='Correct Answers'!B10,2,0)</f>
        <v>0</v>
      </c>
      <c r="N41" s="21" t="n">
        <f aca="false">IF(Entries!K41='Correct Answers'!B11,2,0)</f>
        <v>0</v>
      </c>
      <c r="O41" s="21" t="n">
        <f aca="false">IF(Entries!L41='Correct Answers'!B12,2,0)</f>
        <v>0</v>
      </c>
      <c r="P41" s="21" t="n">
        <f aca="false">IF(Entries!M41='Correct Answers'!B13,2,0)</f>
        <v>0</v>
      </c>
      <c r="Q41" s="1" t="n">
        <f aca="false">2*(IF(Entries!N41='Correct Answers'!B14,1,0)+IF(Entries!O41='Correct Answers'!B15,1,0)+IF(Entries!P41='Correct Answers'!B16,1,0)+IF(Entries!Q41='Correct Answers'!B17,1,0))</f>
        <v>0</v>
      </c>
      <c r="R41" s="1" t="n">
        <f aca="false">2*(IF(Entries!R41='Correct Answers'!B18,1,0)+IF(Entries!S41='Correct Answers'!B19,1,0))</f>
        <v>0</v>
      </c>
      <c r="S41" s="21" t="n">
        <f aca="false">IF(Entries!T41='Correct Answers'!B20,2,0)</f>
        <v>0</v>
      </c>
      <c r="T41" s="21" t="n">
        <f aca="false">IF(Entries!U41='Correct Answers'!B21,2,0)</f>
        <v>0</v>
      </c>
      <c r="U41" s="21" t="n">
        <f aca="false">IF(Entries!V41='Correct Answers'!B22,2,0)</f>
        <v>0</v>
      </c>
      <c r="V41" s="21" t="n">
        <f aca="false">Entries!W41-'Correct Answers'!B23</f>
        <v>240</v>
      </c>
    </row>
    <row r="42" customFormat="false" ht="15" hidden="false" customHeight="false" outlineLevel="0" collapsed="false">
      <c r="A42" s="26" t="str">
        <f aca="false">Entries!A42</f>
        <v>Andrew Brown</v>
      </c>
      <c r="B42" s="1" t="n">
        <f aca="false">SUM(E42:U42)</f>
        <v>2</v>
      </c>
      <c r="E42" s="1" t="n">
        <f aca="false">IF(Entries!B42='Correct Answers'!B2,2,0)</f>
        <v>0</v>
      </c>
      <c r="F42" s="1" t="n">
        <f aca="false">IF(Entries!C42='Correct Answers'!B3,2,0)</f>
        <v>0</v>
      </c>
      <c r="G42" s="1" t="n">
        <f aca="false">IF(Entries!D42='Correct Answers'!B4,2,0)</f>
        <v>0</v>
      </c>
      <c r="H42" s="1" t="n">
        <f aca="false">IF(Entries!E42='Correct Answers'!B5,2,0)</f>
        <v>0</v>
      </c>
      <c r="I42" s="1" t="n">
        <f aca="false">IF(Entries!F42='Correct Answers'!B6,2,0)</f>
        <v>0</v>
      </c>
      <c r="J42" s="21" t="n">
        <f aca="false">IF(Entries!G42='Correct Answers'!B7,2,0)</f>
        <v>0</v>
      </c>
      <c r="K42" s="21" t="n">
        <f aca="false">IF(Entries!H42='Correct Answers'!B8,2,0)</f>
        <v>0</v>
      </c>
      <c r="L42" s="21" t="n">
        <f aca="false">IF(Entries!I42='Correct Answers'!B9,2,0)</f>
        <v>0</v>
      </c>
      <c r="M42" s="21" t="n">
        <f aca="false">IF(Entries!J42='Correct Answers'!B10,2,0)</f>
        <v>0</v>
      </c>
      <c r="N42" s="21" t="n">
        <f aca="false">IF(Entries!K42='Correct Answers'!B11,2,0)</f>
        <v>0</v>
      </c>
      <c r="O42" s="21" t="n">
        <f aca="false">IF(Entries!L42='Correct Answers'!B12,2,0)</f>
        <v>0</v>
      </c>
      <c r="P42" s="21" t="n">
        <f aca="false">IF(Entries!M42='Correct Answers'!B13,2,0)</f>
        <v>0</v>
      </c>
      <c r="Q42" s="1" t="n">
        <f aca="false">2*(IF(Entries!N42='Correct Answers'!B14,1,0)+IF(Entries!O42='Correct Answers'!B15,1,0)+IF(Entries!P42='Correct Answers'!B16,1,0)+IF(Entries!Q42='Correct Answers'!B17,1,0))</f>
        <v>0</v>
      </c>
      <c r="R42" s="1" t="n">
        <f aca="false">2*(IF(Entries!R42='Correct Answers'!B18,1,0)+IF(Entries!S42='Correct Answers'!B19,1,0))</f>
        <v>0</v>
      </c>
      <c r="S42" s="21" t="n">
        <f aca="false">IF(Entries!T42='Correct Answers'!B20,2,0)</f>
        <v>0</v>
      </c>
      <c r="T42" s="21" t="n">
        <f aca="false">IF(Entries!U42='Correct Answers'!B21,2,0)</f>
        <v>0</v>
      </c>
      <c r="U42" s="21" t="n">
        <f aca="false">IF(Entries!V42='Correct Answers'!B22,2,0)</f>
        <v>2</v>
      </c>
      <c r="V42" s="21" t="n">
        <f aca="false">Entries!W42-'Correct Answers'!B23</f>
        <v>335</v>
      </c>
    </row>
    <row r="43" customFormat="false" ht="15" hidden="false" customHeight="false" outlineLevel="0" collapsed="false">
      <c r="A43" s="26" t="str">
        <f aca="false">Entries!A43</f>
        <v>Aid Corker</v>
      </c>
      <c r="B43" s="1" t="n">
        <f aca="false">SUM(E43:U43)</f>
        <v>0</v>
      </c>
      <c r="E43" s="1" t="n">
        <f aca="false">IF(Entries!B43='Correct Answers'!B2,2,0)</f>
        <v>0</v>
      </c>
      <c r="F43" s="1" t="n">
        <f aca="false">IF(Entries!C43='Correct Answers'!B3,2,0)</f>
        <v>0</v>
      </c>
      <c r="G43" s="1" t="n">
        <f aca="false">IF(Entries!D43='Correct Answers'!B4,2,0)</f>
        <v>0</v>
      </c>
      <c r="H43" s="1" t="n">
        <f aca="false">IF(Entries!E43='Correct Answers'!B5,2,0)</f>
        <v>0</v>
      </c>
      <c r="I43" s="1" t="n">
        <f aca="false">IF(Entries!F43='Correct Answers'!B6,2,0)</f>
        <v>0</v>
      </c>
      <c r="J43" s="21" t="n">
        <f aca="false">IF(Entries!G43='Correct Answers'!B7,2,0)</f>
        <v>0</v>
      </c>
      <c r="K43" s="21" t="n">
        <f aca="false">IF(Entries!H43='Correct Answers'!B8,2,0)</f>
        <v>0</v>
      </c>
      <c r="L43" s="21" t="n">
        <f aca="false">IF(Entries!I43='Correct Answers'!B9,2,0)</f>
        <v>0</v>
      </c>
      <c r="M43" s="21" t="n">
        <f aca="false">IF(Entries!J43='Correct Answers'!B10,2,0)</f>
        <v>0</v>
      </c>
      <c r="N43" s="21" t="n">
        <f aca="false">IF(Entries!K43='Correct Answers'!B11,2,0)</f>
        <v>0</v>
      </c>
      <c r="O43" s="21" t="n">
        <f aca="false">IF(Entries!L43='Correct Answers'!B12,2,0)</f>
        <v>0</v>
      </c>
      <c r="P43" s="21" t="n">
        <f aca="false">IF(Entries!M43='Correct Answers'!B13,2,0)</f>
        <v>0</v>
      </c>
      <c r="Q43" s="1" t="n">
        <f aca="false">2*(IF(Entries!N43='Correct Answers'!B14,1,0)+IF(Entries!O43='Correct Answers'!B15,1,0)+IF(Entries!P43='Correct Answers'!B16,1,0)+IF(Entries!Q43='Correct Answers'!B17,1,0))</f>
        <v>0</v>
      </c>
      <c r="R43" s="1" t="n">
        <f aca="false">2*(IF(Entries!R43='Correct Answers'!B18,1,0)+IF(Entries!S43='Correct Answers'!B19,1,0))</f>
        <v>0</v>
      </c>
      <c r="S43" s="21" t="n">
        <f aca="false">IF(Entries!T43='Correct Answers'!B20,2,0)</f>
        <v>0</v>
      </c>
      <c r="T43" s="21" t="n">
        <f aca="false">IF(Entries!U43='Correct Answers'!B21,2,0)</f>
        <v>0</v>
      </c>
      <c r="U43" s="21" t="n">
        <f aca="false">IF(Entries!V43='Correct Answers'!B22,2,0)</f>
        <v>0</v>
      </c>
      <c r="V43" s="21" t="n">
        <f aca="false">Entries!W43-'Correct Answers'!B23</f>
        <v>205</v>
      </c>
    </row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26" width="16.46"/>
    <col collapsed="false" customWidth="true" hidden="false" outlineLevel="0" max="2" min="2" style="1" width="10.16"/>
    <col collapsed="false" customWidth="true" hidden="false" outlineLevel="0" max="3" min="3" style="1" width="9.35"/>
  </cols>
  <sheetData>
    <row r="1" customFormat="false" ht="15" hidden="false" customHeight="false" outlineLevel="0" collapsed="false">
      <c r="A1" s="26" t="s">
        <v>74</v>
      </c>
      <c r="B1" s="20" t="s">
        <v>70</v>
      </c>
      <c r="C1" s="20" t="s">
        <v>197</v>
      </c>
    </row>
    <row r="2" customFormat="false" ht="15" hidden="false" customHeight="false" outlineLevel="0" collapsed="false">
      <c r="A2" s="26" t="str">
        <f aca="false">Scoring!A2</f>
        <v>Gary Bebbington</v>
      </c>
      <c r="B2" s="1" t="n">
        <f aca="false">Scoring!B2</f>
        <v>0</v>
      </c>
      <c r="C2" s="1" t="n">
        <f aca="false">Scoring!V2</f>
        <v>212</v>
      </c>
    </row>
    <row r="3" customFormat="false" ht="15" hidden="false" customHeight="true" outlineLevel="0" collapsed="false">
      <c r="A3" s="26" t="str">
        <f aca="false">Scoring!A3</f>
        <v>Liam Page</v>
      </c>
      <c r="B3" s="1" t="n">
        <f aca="false">Scoring!B3</f>
        <v>0</v>
      </c>
      <c r="C3" s="1" t="n">
        <f aca="false">Scoring!V3</f>
        <v>12</v>
      </c>
    </row>
    <row r="4" customFormat="false" ht="15" hidden="false" customHeight="true" outlineLevel="0" collapsed="false">
      <c r="A4" s="26" t="str">
        <f aca="false">Scoring!A4</f>
        <v>Andy Rutter</v>
      </c>
      <c r="B4" s="1" t="n">
        <f aca="false">Scoring!B4</f>
        <v>0</v>
      </c>
      <c r="C4" s="1" t="n">
        <f aca="false">Scoring!V4</f>
        <v>271</v>
      </c>
    </row>
    <row r="5" customFormat="false" ht="15" hidden="false" customHeight="true" outlineLevel="0" collapsed="false">
      <c r="A5" s="26" t="str">
        <f aca="false">Scoring!A5</f>
        <v>Glyn Davies</v>
      </c>
      <c r="B5" s="1" t="n">
        <f aca="false">Scoring!B5</f>
        <v>2</v>
      </c>
      <c r="C5" s="1" t="n">
        <f aca="false">Scoring!V5</f>
        <v>167</v>
      </c>
    </row>
    <row r="6" customFormat="false" ht="15" hidden="false" customHeight="true" outlineLevel="0" collapsed="false">
      <c r="A6" s="26" t="str">
        <f aca="false">Scoring!A6</f>
        <v>Mr Zee</v>
      </c>
      <c r="B6" s="1" t="n">
        <f aca="false">Scoring!B6</f>
        <v>0</v>
      </c>
      <c r="C6" s="1" t="n">
        <f aca="false">Scoring!V6</f>
        <v>61</v>
      </c>
    </row>
    <row r="7" customFormat="false" ht="15" hidden="false" customHeight="true" outlineLevel="0" collapsed="false">
      <c r="A7" s="26" t="str">
        <f aca="false">Scoring!A7</f>
        <v>Darren Moore</v>
      </c>
      <c r="B7" s="1" t="n">
        <f aca="false">Scoring!B7</f>
        <v>0</v>
      </c>
      <c r="C7" s="1" t="n">
        <f aca="false">Scoring!V7</f>
        <v>197</v>
      </c>
    </row>
    <row r="8" customFormat="false" ht="15" hidden="false" customHeight="true" outlineLevel="0" collapsed="false">
      <c r="A8" s="26" t="str">
        <f aca="false">Scoring!A8</f>
        <v>Andrew Lee</v>
      </c>
      <c r="B8" s="1" t="n">
        <f aca="false">Scoring!B8</f>
        <v>2</v>
      </c>
      <c r="C8" s="1" t="n">
        <f aca="false">Scoring!V8</f>
        <v>135</v>
      </c>
    </row>
    <row r="9" customFormat="false" ht="15" hidden="false" customHeight="true" outlineLevel="0" collapsed="false">
      <c r="A9" s="26" t="str">
        <f aca="false">Scoring!A9</f>
        <v>Claire Doughty</v>
      </c>
      <c r="B9" s="1" t="n">
        <f aca="false">Scoring!B9</f>
        <v>2</v>
      </c>
      <c r="C9" s="1" t="n">
        <f aca="false">Scoring!V9</f>
        <v>264</v>
      </c>
      <c r="K9" s="21"/>
    </row>
    <row r="10" customFormat="false" ht="15" hidden="false" customHeight="true" outlineLevel="0" collapsed="false">
      <c r="A10" s="26" t="str">
        <f aca="false">Scoring!A10</f>
        <v>Andrew Hayes</v>
      </c>
      <c r="B10" s="1" t="n">
        <f aca="false">Scoring!B10</f>
        <v>0</v>
      </c>
      <c r="C10" s="1" t="n">
        <f aca="false">Scoring!V10</f>
        <v>197</v>
      </c>
      <c r="K10" s="21"/>
    </row>
    <row r="11" customFormat="false" ht="15" hidden="false" customHeight="true" outlineLevel="0" collapsed="false">
      <c r="A11" s="26" t="str">
        <f aca="false">Scoring!A11</f>
        <v>Lindsay Berry</v>
      </c>
      <c r="B11" s="1" t="n">
        <f aca="false">Scoring!B11</f>
        <v>0</v>
      </c>
      <c r="C11" s="1" t="n">
        <f aca="false">Scoring!V11</f>
        <v>247</v>
      </c>
      <c r="K11" s="21"/>
    </row>
    <row r="12" customFormat="false" ht="15" hidden="false" customHeight="true" outlineLevel="0" collapsed="false">
      <c r="A12" s="26" t="str">
        <f aca="false">Scoring!A12</f>
        <v>Derek Clayton</v>
      </c>
      <c r="B12" s="1" t="n">
        <f aca="false">Scoring!B12</f>
        <v>0</v>
      </c>
      <c r="C12" s="1" t="n">
        <f aca="false">Scoring!V12</f>
        <v>312</v>
      </c>
      <c r="K12" s="21"/>
    </row>
    <row r="13" customFormat="false" ht="15" hidden="false" customHeight="true" outlineLevel="0" collapsed="false">
      <c r="A13" s="26" t="str">
        <f aca="false">Scoring!A13</f>
        <v>Sophie Hayes</v>
      </c>
      <c r="B13" s="1" t="n">
        <f aca="false">Scoring!B13</f>
        <v>0</v>
      </c>
      <c r="C13" s="1" t="n">
        <f aca="false">Scoring!V13</f>
        <v>142</v>
      </c>
      <c r="K13" s="21"/>
    </row>
    <row r="14" customFormat="false" ht="15" hidden="false" customHeight="true" outlineLevel="0" collapsed="false">
      <c r="A14" s="26" t="str">
        <f aca="false">Scoring!A14</f>
        <v>Colin Kudrycz</v>
      </c>
      <c r="B14" s="1" t="n">
        <f aca="false">Scoring!B14</f>
        <v>0</v>
      </c>
      <c r="C14" s="1" t="n">
        <f aca="false">Scoring!V14</f>
        <v>182</v>
      </c>
      <c r="K14" s="21"/>
    </row>
    <row r="15" customFormat="false" ht="15" hidden="false" customHeight="true" outlineLevel="0" collapsed="false">
      <c r="A15" s="26" t="str">
        <f aca="false">Scoring!A15</f>
        <v>Paul Roberts</v>
      </c>
      <c r="B15" s="1" t="n">
        <f aca="false">Scoring!B15</f>
        <v>2</v>
      </c>
      <c r="C15" s="1" t="n">
        <f aca="false">Scoring!V15</f>
        <v>122</v>
      </c>
    </row>
    <row r="16" customFormat="false" ht="15" hidden="false" customHeight="true" outlineLevel="0" collapsed="false">
      <c r="A16" s="26" t="str">
        <f aca="false">Scoring!A16</f>
        <v>Brian Varney</v>
      </c>
      <c r="B16" s="1" t="n">
        <f aca="false">Scoring!B16</f>
        <v>0</v>
      </c>
      <c r="C16" s="1" t="n">
        <f aca="false">Scoring!V16</f>
        <v>243</v>
      </c>
    </row>
    <row r="17" customFormat="false" ht="15" hidden="false" customHeight="true" outlineLevel="0" collapsed="false">
      <c r="A17" s="26" t="str">
        <f aca="false">Scoring!A17</f>
        <v>Nick Davis</v>
      </c>
      <c r="B17" s="1" t="n">
        <f aca="false">Scoring!B17</f>
        <v>2</v>
      </c>
      <c r="C17" s="1" t="n">
        <f aca="false">Scoring!V17</f>
        <v>166</v>
      </c>
    </row>
    <row r="18" customFormat="false" ht="15" hidden="false" customHeight="true" outlineLevel="0" collapsed="false">
      <c r="A18" s="26" t="str">
        <f aca="false">Scoring!A18</f>
        <v>Chris Varney</v>
      </c>
      <c r="B18" s="1" t="n">
        <f aca="false">Scoring!B18</f>
        <v>0</v>
      </c>
      <c r="C18" s="1" t="n">
        <f aca="false">Scoring!V18</f>
        <v>200</v>
      </c>
    </row>
    <row r="19" customFormat="false" ht="15" hidden="false" customHeight="true" outlineLevel="0" collapsed="false">
      <c r="A19" s="26" t="str">
        <f aca="false">Scoring!A19</f>
        <v>Roy Roberts</v>
      </c>
      <c r="B19" s="1" t="n">
        <f aca="false">Scoring!B19</f>
        <v>0</v>
      </c>
      <c r="C19" s="1" t="n">
        <f aca="false">Scoring!V19</f>
        <v>180</v>
      </c>
    </row>
    <row r="20" customFormat="false" ht="15" hidden="false" customHeight="true" outlineLevel="0" collapsed="false">
      <c r="A20" s="26" t="str">
        <f aca="false">Scoring!A20</f>
        <v>Lee Hughes</v>
      </c>
      <c r="B20" s="1" t="n">
        <f aca="false">Scoring!B20</f>
        <v>0</v>
      </c>
      <c r="C20" s="1" t="n">
        <f aca="false">Scoring!V20</f>
        <v>62</v>
      </c>
    </row>
    <row r="21" customFormat="false" ht="15" hidden="false" customHeight="true" outlineLevel="0" collapsed="false">
      <c r="A21" s="26" t="str">
        <f aca="false">Scoring!A21</f>
        <v>Amanda Andrews</v>
      </c>
      <c r="B21" s="1" t="n">
        <f aca="false">Scoring!B21</f>
        <v>2</v>
      </c>
      <c r="C21" s="1" t="n">
        <f aca="false">Scoring!V21</f>
        <v>202</v>
      </c>
    </row>
    <row r="22" customFormat="false" ht="15" hidden="false" customHeight="true" outlineLevel="0" collapsed="false">
      <c r="A22" s="26" t="str">
        <f aca="false">Scoring!A22</f>
        <v>David Brookes</v>
      </c>
      <c r="B22" s="1" t="n">
        <f aca="false">Scoring!B22</f>
        <v>0</v>
      </c>
      <c r="C22" s="1" t="n">
        <f aca="false">Scoring!V22</f>
        <v>173</v>
      </c>
    </row>
    <row r="23" customFormat="false" ht="15" hidden="false" customHeight="true" outlineLevel="0" collapsed="false">
      <c r="A23" s="26" t="str">
        <f aca="false">Scoring!A23</f>
        <v>Alan Bennett</v>
      </c>
      <c r="B23" s="1" t="n">
        <f aca="false">Scoring!B23</f>
        <v>0</v>
      </c>
      <c r="C23" s="1" t="e">
        <f aca="false">Scoring!V23</f>
        <v>#VALUE!</v>
      </c>
    </row>
    <row r="24" customFormat="false" ht="15" hidden="false" customHeight="true" outlineLevel="0" collapsed="false">
      <c r="A24" s="26" t="str">
        <f aca="false">Scoring!A24</f>
        <v>Matthew Varney</v>
      </c>
      <c r="B24" s="1" t="n">
        <f aca="false">Scoring!B24</f>
        <v>0</v>
      </c>
      <c r="C24" s="1" t="n">
        <f aca="false">Scoring!V24</f>
        <v>185</v>
      </c>
    </row>
    <row r="25" customFormat="false" ht="15" hidden="false" customHeight="true" outlineLevel="0" collapsed="false">
      <c r="A25" s="26" t="str">
        <f aca="false">Scoring!A25</f>
        <v>Oliver Nay</v>
      </c>
      <c r="B25" s="1" t="n">
        <f aca="false">Scoring!B25</f>
        <v>0</v>
      </c>
      <c r="C25" s="1" t="n">
        <f aca="false">Scoring!V25</f>
        <v>45</v>
      </c>
    </row>
    <row r="26" customFormat="false" ht="15" hidden="false" customHeight="true" outlineLevel="0" collapsed="false">
      <c r="A26" s="26" t="str">
        <f aca="false">Scoring!A26</f>
        <v>Stephen Roberts</v>
      </c>
      <c r="B26" s="1" t="n">
        <f aca="false">Scoring!B26</f>
        <v>0</v>
      </c>
      <c r="C26" s="1" t="n">
        <f aca="false">Scoring!V26</f>
        <v>64</v>
      </c>
    </row>
    <row r="27" customFormat="false" ht="15" hidden="false" customHeight="true" outlineLevel="0" collapsed="false">
      <c r="A27" s="26" t="str">
        <f aca="false">Scoring!A27</f>
        <v>Ethan Yates</v>
      </c>
      <c r="B27" s="1" t="n">
        <f aca="false">Scoring!B27</f>
        <v>0</v>
      </c>
      <c r="C27" s="1" t="n">
        <f aca="false">Scoring!V27</f>
        <v>227</v>
      </c>
    </row>
    <row r="28" customFormat="false" ht="15" hidden="false" customHeight="true" outlineLevel="0" collapsed="false">
      <c r="A28" s="26" t="str">
        <f aca="false">Scoring!A28</f>
        <v>Neil Keelan</v>
      </c>
      <c r="B28" s="1" t="n">
        <f aca="false">Scoring!B28</f>
        <v>2</v>
      </c>
      <c r="C28" s="1" t="n">
        <f aca="false">Scoring!V28</f>
        <v>222</v>
      </c>
    </row>
    <row r="29" customFormat="false" ht="15" hidden="false" customHeight="true" outlineLevel="0" collapsed="false">
      <c r="A29" s="26" t="str">
        <f aca="false">Scoring!A29</f>
        <v>Terresa Baker</v>
      </c>
      <c r="B29" s="1" t="n">
        <f aca="false">Scoring!B29</f>
        <v>0</v>
      </c>
      <c r="C29" s="1" t="n">
        <f aca="false">Scoring!V29</f>
        <v>204</v>
      </c>
    </row>
    <row r="30" customFormat="false" ht="15" hidden="false" customHeight="true" outlineLevel="0" collapsed="false">
      <c r="A30" s="26" t="str">
        <f aca="false">Scoring!A30</f>
        <v>Steph Cawte</v>
      </c>
      <c r="B30" s="1" t="n">
        <f aca="false">Scoring!B30</f>
        <v>0</v>
      </c>
      <c r="C30" s="1" t="n">
        <f aca="false">Scoring!V30</f>
        <v>131</v>
      </c>
    </row>
    <row r="31" customFormat="false" ht="15" hidden="false" customHeight="true" outlineLevel="0" collapsed="false">
      <c r="A31" s="26" t="str">
        <f aca="false">Scoring!A31</f>
        <v>Sam Flower</v>
      </c>
      <c r="B31" s="1" t="n">
        <f aca="false">Scoring!B31</f>
        <v>0</v>
      </c>
      <c r="C31" s="1" t="n">
        <f aca="false">Scoring!V31</f>
        <v>165</v>
      </c>
    </row>
    <row r="32" customFormat="false" ht="15" hidden="false" customHeight="true" outlineLevel="0" collapsed="false">
      <c r="A32" s="26" t="str">
        <f aca="false">Scoring!A32</f>
        <v>Martin Fallon</v>
      </c>
      <c r="B32" s="1" t="n">
        <f aca="false">Scoring!B32</f>
        <v>0</v>
      </c>
      <c r="C32" s="1" t="n">
        <f aca="false">Scoring!V32</f>
        <v>253</v>
      </c>
    </row>
    <row r="33" customFormat="false" ht="15" hidden="false" customHeight="true" outlineLevel="0" collapsed="false">
      <c r="A33" s="26" t="str">
        <f aca="false">Scoring!A33</f>
        <v>Ed Burthem</v>
      </c>
      <c r="B33" s="1" t="n">
        <f aca="false">Scoring!B33</f>
        <v>2</v>
      </c>
      <c r="C33" s="1" t="n">
        <f aca="false">Scoring!V33</f>
        <v>180</v>
      </c>
    </row>
    <row r="34" customFormat="false" ht="15" hidden="false" customHeight="true" outlineLevel="0" collapsed="false">
      <c r="A34" s="26" t="str">
        <f aca="false">Scoring!A34</f>
        <v>Dylan Green</v>
      </c>
      <c r="B34" s="1" t="n">
        <f aca="false">Scoring!B34</f>
        <v>0</v>
      </c>
      <c r="C34" s="1" t="n">
        <f aca="false">Scoring!V34</f>
        <v>241</v>
      </c>
    </row>
    <row r="35" customFormat="false" ht="15" hidden="false" customHeight="true" outlineLevel="0" collapsed="false">
      <c r="A35" s="26" t="str">
        <f aca="false">Scoring!A35</f>
        <v>Matthew Green</v>
      </c>
      <c r="B35" s="1" t="n">
        <f aca="false">Scoring!B35</f>
        <v>0</v>
      </c>
      <c r="C35" s="1" t="n">
        <f aca="false">Scoring!V35</f>
        <v>-24</v>
      </c>
    </row>
    <row r="36" customFormat="false" ht="15" hidden="false" customHeight="true" outlineLevel="0" collapsed="false">
      <c r="A36" s="26" t="str">
        <f aca="false">Scoring!A36</f>
        <v>Thomas Green</v>
      </c>
      <c r="B36" s="1" t="n">
        <f aca="false">Scoring!B36</f>
        <v>0</v>
      </c>
      <c r="C36" s="1" t="n">
        <f aca="false">Scoring!V36</f>
        <v>312</v>
      </c>
    </row>
    <row r="37" customFormat="false" ht="15" hidden="false" customHeight="true" outlineLevel="0" collapsed="false">
      <c r="A37" s="26" t="str">
        <f aca="false">Scoring!A37</f>
        <v>Stewart Halliday</v>
      </c>
      <c r="B37" s="1" t="n">
        <f aca="false">Scoring!B37</f>
        <v>2</v>
      </c>
      <c r="C37" s="1" t="n">
        <f aca="false">Scoring!V37</f>
        <v>259</v>
      </c>
    </row>
    <row r="38" customFormat="false" ht="15" hidden="false" customHeight="true" outlineLevel="0" collapsed="false">
      <c r="A38" s="26" t="str">
        <f aca="false">Scoring!A38</f>
        <v>Robert Moore</v>
      </c>
      <c r="B38" s="1" t="n">
        <f aca="false">Scoring!B38</f>
        <v>0</v>
      </c>
      <c r="C38" s="1" t="n">
        <f aca="false">Scoring!V38</f>
        <v>249</v>
      </c>
    </row>
    <row r="39" customFormat="false" ht="15" hidden="false" customHeight="true" outlineLevel="0" collapsed="false">
      <c r="A39" s="26" t="str">
        <f aca="false">Scoring!A39</f>
        <v>Declan Preston</v>
      </c>
      <c r="B39" s="1" t="n">
        <f aca="false">Scoring!B39</f>
        <v>0</v>
      </c>
      <c r="C39" s="1" t="n">
        <f aca="false">Scoring!V39</f>
        <v>194</v>
      </c>
    </row>
    <row r="40" customFormat="false" ht="15" hidden="false" customHeight="true" outlineLevel="0" collapsed="false">
      <c r="A40" s="26" t="str">
        <f aca="false">Scoring!A40</f>
        <v>Ivor Richards</v>
      </c>
      <c r="B40" s="1" t="n">
        <f aca="false">Scoring!B40</f>
        <v>0</v>
      </c>
      <c r="C40" s="1" t="n">
        <f aca="false">Scoring!V40</f>
        <v>193</v>
      </c>
    </row>
    <row r="41" customFormat="false" ht="15" hidden="false" customHeight="true" outlineLevel="0" collapsed="false">
      <c r="A41" s="26" t="str">
        <f aca="false">Scoring!A41</f>
        <v>Mark Holdridge</v>
      </c>
      <c r="B41" s="1" t="n">
        <f aca="false">Scoring!B41</f>
        <v>0</v>
      </c>
      <c r="C41" s="1" t="n">
        <f aca="false">Scoring!V41</f>
        <v>240</v>
      </c>
    </row>
    <row r="42" customFormat="false" ht="15" hidden="false" customHeight="true" outlineLevel="0" collapsed="false">
      <c r="A42" s="26" t="str">
        <f aca="false">Scoring!A42</f>
        <v>Andrew Brown</v>
      </c>
      <c r="B42" s="1" t="n">
        <f aca="false">Scoring!B42</f>
        <v>2</v>
      </c>
      <c r="C42" s="1" t="n">
        <f aca="false">Scoring!V42</f>
        <v>335</v>
      </c>
    </row>
    <row r="43" customFormat="false" ht="15" hidden="false" customHeight="true" outlineLevel="0" collapsed="false">
      <c r="A43" s="26" t="e">
        <f aca="false">#ref!</f>
        <v>#NAME?</v>
      </c>
      <c r="B43" s="1" t="e">
        <f aca="false">#ref!</f>
        <v>#NAME?</v>
      </c>
      <c r="C43" s="1" t="e">
        <f aca="false">#ref!</f>
        <v>#NAME?</v>
      </c>
    </row>
    <row r="44" customFormat="false" ht="15" hidden="false" customHeight="true" outlineLevel="0" collapsed="false">
      <c r="A44" s="26" t="str">
        <f aca="false">Scoring!A43</f>
        <v>Aid Corker</v>
      </c>
      <c r="B44" s="1" t="n">
        <f aca="false">Scoring!B43</f>
        <v>0</v>
      </c>
      <c r="C44" s="1" t="n">
        <f aca="false">Scoring!V43</f>
        <v>205</v>
      </c>
    </row>
    <row r="45" customFormat="false" ht="15" hidden="false" customHeight="true" outlineLevel="0" collapsed="false">
      <c r="A45" s="26" t="e">
        <f aca="false">#ref!</f>
        <v>#NAME?</v>
      </c>
      <c r="B45" s="1" t="e">
        <f aca="false">#ref!</f>
        <v>#NAME?</v>
      </c>
      <c r="C45" s="1" t="e">
        <f aca="false">#ref!</f>
        <v>#NAME?</v>
      </c>
    </row>
    <row r="46" customFormat="false" ht="15" hidden="false" customHeight="true" outlineLevel="0" collapsed="false">
      <c r="A46" s="26" t="e">
        <f aca="false">#ref!</f>
        <v>#NAME?</v>
      </c>
      <c r="B46" s="1" t="e">
        <f aca="false">#ref!</f>
        <v>#NAME?</v>
      </c>
      <c r="C46" s="1" t="e">
        <f aca="false">#ref!</f>
        <v>#NAME?</v>
      </c>
    </row>
    <row r="47" customFormat="false" ht="15" hidden="false" customHeight="true" outlineLevel="0" collapsed="false">
      <c r="A47" s="26" t="e">
        <f aca="false">#ref!</f>
        <v>#NAME?</v>
      </c>
      <c r="B47" s="1" t="e">
        <f aca="false">#ref!</f>
        <v>#NAME?</v>
      </c>
      <c r="C47" s="1" t="e">
        <f aca="false">#ref!</f>
        <v>#NAME?</v>
      </c>
    </row>
    <row r="48" customFormat="false" ht="15" hidden="false" customHeight="true" outlineLevel="0" collapsed="false">
      <c r="A48" s="26" t="e">
        <f aca="false">#ref!</f>
        <v>#NAME?</v>
      </c>
      <c r="B48" s="1" t="e">
        <f aca="false">#ref!</f>
        <v>#NAME?</v>
      </c>
      <c r="C48" s="1" t="e">
        <f aca="false">#ref!</f>
        <v>#NAME?</v>
      </c>
    </row>
    <row r="49" customFormat="false" ht="15" hidden="false" customHeight="true" outlineLevel="0" collapsed="false">
      <c r="A49" s="26" t="e">
        <f aca="false">#ref!</f>
        <v>#NAME?</v>
      </c>
      <c r="B49" s="1" t="e">
        <f aca="false">#ref!</f>
        <v>#NAME?</v>
      </c>
      <c r="C49" s="1" t="e">
        <f aca="false">#ref!</f>
        <v>#NAME?</v>
      </c>
    </row>
    <row r="50" customFormat="false" ht="15" hidden="false" customHeight="true" outlineLevel="0" collapsed="false">
      <c r="A50" s="26" t="e">
        <f aca="false">#ref!</f>
        <v>#NAME?</v>
      </c>
      <c r="B50" s="1" t="e">
        <f aca="false">#ref!</f>
        <v>#NAME?</v>
      </c>
      <c r="C50" s="1" t="e">
        <f aca="false">#ref!</f>
        <v>#NAME?</v>
      </c>
    </row>
    <row r="51" customFormat="false" ht="15" hidden="false" customHeight="true" outlineLevel="0" collapsed="false">
      <c r="A51" s="26" t="e">
        <f aca="false">#ref!</f>
        <v>#NAME?</v>
      </c>
      <c r="B51" s="1" t="e">
        <f aca="false">#ref!</f>
        <v>#NAME?</v>
      </c>
      <c r="C51" s="1" t="e">
        <f aca="false">#ref!</f>
        <v>#NAME?</v>
      </c>
    </row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">
    <dataValidation allowBlank="true" errorStyle="stop" operator="equal" showDropDown="false" showErrorMessage="true" showInputMessage="true" sqref="K9:K14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30.92"/>
  </cols>
  <sheetData>
    <row r="1" customFormat="false" ht="13.8" hidden="false" customHeight="false" outlineLevel="0" collapsed="false">
      <c r="A1" s="1" t="s">
        <v>198</v>
      </c>
    </row>
    <row r="2" customFormat="false" ht="13.8" hidden="false" customHeight="false" outlineLevel="0" collapsed="false">
      <c r="A2" s="1" t="s">
        <v>199</v>
      </c>
    </row>
    <row r="3" customFormat="false" ht="13.8" hidden="false" customHeight="false" outlineLevel="0" collapsed="false">
      <c r="A3" s="1" t="s">
        <v>200</v>
      </c>
    </row>
    <row r="4" customFormat="false" ht="13.8" hidden="false" customHeight="false" outlineLevel="0" collapsed="false">
      <c r="A4" s="1" t="s">
        <v>201</v>
      </c>
    </row>
    <row r="5" customFormat="false" ht="13.8" hidden="false" customHeight="false" outlineLevel="0" collapsed="false">
      <c r="A5" s="1" t="s">
        <v>202</v>
      </c>
    </row>
    <row r="6" customFormat="false" ht="13.8" hidden="false" customHeight="false" outlineLevel="0" collapsed="false">
      <c r="A6" s="1" t="s">
        <v>203</v>
      </c>
    </row>
    <row r="7" customFormat="false" ht="13.8" hidden="false" customHeight="false" outlineLevel="0" collapsed="false">
      <c r="A7" s="1" t="s">
        <v>204</v>
      </c>
    </row>
    <row r="8" customFormat="false" ht="13.8" hidden="false" customHeight="false" outlineLevel="0" collapsed="false">
      <c r="A8" s="1" t="s">
        <v>205</v>
      </c>
    </row>
    <row r="9" customFormat="false" ht="13.8" hidden="false" customHeight="false" outlineLevel="0" collapsed="false">
      <c r="A9" s="1" t="s">
        <v>206</v>
      </c>
    </row>
    <row r="10" customFormat="false" ht="13.8" hidden="false" customHeight="false" outlineLevel="0" collapsed="false">
      <c r="A10" s="1" t="s">
        <v>207</v>
      </c>
    </row>
    <row r="11" customFormat="false" ht="13.8" hidden="false" customHeight="false" outlineLevel="0" collapsed="false">
      <c r="A11" s="1" t="s">
        <v>208</v>
      </c>
    </row>
    <row r="12" customFormat="false" ht="13.8" hidden="false" customHeight="false" outlineLevel="0" collapsed="false">
      <c r="A12" s="1" t="s">
        <v>209</v>
      </c>
    </row>
    <row r="13" customFormat="false" ht="13.8" hidden="false" customHeight="false" outlineLevel="0" collapsed="false">
      <c r="A13" s="1" t="s">
        <v>210</v>
      </c>
    </row>
    <row r="14" customFormat="false" ht="13.8" hidden="false" customHeight="false" outlineLevel="0" collapsed="false">
      <c r="A14" s="1" t="s">
        <v>211</v>
      </c>
    </row>
    <row r="15" customFormat="false" ht="13.8" hidden="false" customHeight="false" outlineLevel="0" collapsed="false">
      <c r="A15" s="1" t="s">
        <v>212</v>
      </c>
    </row>
    <row r="16" customFormat="false" ht="13.8" hidden="false" customHeight="false" outlineLevel="0" collapsed="false">
      <c r="A16" s="1" t="s">
        <v>213</v>
      </c>
    </row>
    <row r="17" customFormat="false" ht="13.8" hidden="false" customHeight="false" outlineLevel="0" collapsed="false">
      <c r="A17" s="1" t="s">
        <v>214</v>
      </c>
    </row>
    <row r="18" customFormat="false" ht="13.8" hidden="false" customHeight="false" outlineLevel="0" collapsed="false">
      <c r="A18" s="1" t="s">
        <v>215</v>
      </c>
    </row>
    <row r="19" customFormat="false" ht="13.8" hidden="false" customHeight="false" outlineLevel="0" collapsed="false">
      <c r="A19" s="1" t="s">
        <v>216</v>
      </c>
    </row>
    <row r="20" customFormat="false" ht="13.8" hidden="false" customHeight="false" outlineLevel="0" collapsed="false">
      <c r="A20" s="1" t="s">
        <v>217</v>
      </c>
    </row>
    <row r="21" customFormat="false" ht="13.8" hidden="false" customHeight="false" outlineLevel="0" collapsed="false">
      <c r="A21" s="1" t="s">
        <v>218</v>
      </c>
    </row>
    <row r="22" customFormat="false" ht="13.8" hidden="false" customHeight="false" outlineLevel="0" collapsed="false">
      <c r="A22" s="1" t="s">
        <v>219</v>
      </c>
    </row>
    <row r="23" customFormat="false" ht="13.8" hidden="false" customHeight="false" outlineLevel="0" collapsed="false">
      <c r="A23" s="1" t="s">
        <v>220</v>
      </c>
    </row>
    <row r="24" customFormat="false" ht="13.8" hidden="false" customHeight="false" outlineLevel="0" collapsed="false">
      <c r="A24" s="1" t="s">
        <v>221</v>
      </c>
    </row>
    <row r="25" customFormat="false" ht="13.8" hidden="false" customHeight="false" outlineLevel="0" collapsed="false">
      <c r="A25" s="1" t="s">
        <v>219</v>
      </c>
    </row>
    <row r="26" customFormat="false" ht="13.8" hidden="false" customHeight="false" outlineLevel="0" collapsed="false">
      <c r="A26" s="1" t="s">
        <v>222</v>
      </c>
    </row>
    <row r="27" customFormat="false" ht="13.8" hidden="false" customHeight="false" outlineLevel="0" collapsed="false">
      <c r="A27" s="1" t="s">
        <v>223</v>
      </c>
    </row>
    <row r="28" customFormat="false" ht="13.8" hidden="false" customHeight="false" outlineLevel="0" collapsed="false">
      <c r="A28" s="1" t="s">
        <v>224</v>
      </c>
    </row>
    <row r="29" customFormat="false" ht="13.8" hidden="false" customHeight="false" outlineLevel="0" collapsed="false">
      <c r="A29" s="1" t="s">
        <v>225</v>
      </c>
    </row>
    <row r="30" customFormat="false" ht="13.8" hidden="false" customHeight="false" outlineLevel="0" collapsed="false">
      <c r="A30" s="1" t="s">
        <v>226</v>
      </c>
    </row>
    <row r="31" customFormat="false" ht="13.8" hidden="false" customHeight="false" outlineLevel="0" collapsed="false">
      <c r="A31" s="1" t="s">
        <v>227</v>
      </c>
    </row>
    <row r="32" customFormat="false" ht="13.8" hidden="false" customHeight="false" outlineLevel="0" collapsed="false">
      <c r="A32" s="1" t="s">
        <v>228</v>
      </c>
    </row>
    <row r="33" customFormat="false" ht="13.8" hidden="false" customHeight="false" outlineLevel="0" collapsed="false">
      <c r="A33" s="1" t="s">
        <v>229</v>
      </c>
    </row>
    <row r="34" customFormat="false" ht="13.8" hidden="false" customHeight="false" outlineLevel="0" collapsed="false">
      <c r="A34" s="1" t="s">
        <v>230</v>
      </c>
    </row>
    <row r="35" customFormat="false" ht="13.8" hidden="false" customHeight="false" outlineLevel="0" collapsed="false">
      <c r="A35" s="1" t="s">
        <v>231</v>
      </c>
    </row>
    <row r="36" customFormat="false" ht="13.8" hidden="false" customHeight="false" outlineLevel="0" collapsed="false">
      <c r="A36" s="1" t="s">
        <v>232</v>
      </c>
    </row>
    <row r="37" customFormat="false" ht="13.8" hidden="false" customHeight="false" outlineLevel="0" collapsed="false">
      <c r="A37" s="1" t="s">
        <v>233</v>
      </c>
    </row>
    <row r="38" customFormat="false" ht="13.8" hidden="false" customHeight="false" outlineLevel="0" collapsed="false">
      <c r="A38" s="1" t="s">
        <v>234</v>
      </c>
    </row>
    <row r="39" customFormat="false" ht="13.8" hidden="false" customHeight="false" outlineLevel="0" collapsed="false">
      <c r="A39" s="1" t="s">
        <v>235</v>
      </c>
    </row>
    <row r="40" customFormat="false" ht="13.8" hidden="false" customHeight="false" outlineLevel="0" collapsed="false">
      <c r="A40" s="1" t="s">
        <v>236</v>
      </c>
    </row>
    <row r="41" customFormat="false" ht="13.8" hidden="false" customHeight="false" outlineLevel="0" collapsed="false">
      <c r="A41" s="1" t="s">
        <v>237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2025-12-07T10:09:47Z</dcterms:created>
  <dc:creator>openpyxl</dc:creator>
  <dc:description/>
  <dc:language>en-GB</dc:language>
  <cp:lastModifiedBy/>
  <cp:lastPrinted>2026-06-15T22:36:05Z</cp:lastPrinted>
  <dcterms:modified xsi:type="dcterms:W3CDTF">2026-06-15T18:57:28Z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